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WY\add-outputs\HOIpTP\"/>
    </mc:Choice>
  </mc:AlternateContent>
  <xr:revisionPtr revIDLastSave="0" documentId="8_{A485989E-FE1D-48A6-ABCC-62C93154DB5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J15" i="19" s="1"/>
  <c r="AB14" i="19"/>
  <c r="B14" i="19"/>
  <c r="AA14" i="19" s="1"/>
  <c r="Y13" i="19"/>
  <c r="P13" i="19"/>
  <c r="O13" i="19"/>
  <c r="B13" i="19"/>
  <c r="J13" i="19" s="1"/>
  <c r="Q12" i="19"/>
  <c r="H12" i="19"/>
  <c r="G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P8" i="19"/>
  <c r="K8" i="19"/>
  <c r="F8" i="19"/>
  <c r="B8" i="19"/>
  <c r="L8" i="19" s="1"/>
  <c r="B7" i="19"/>
  <c r="L7" i="19" s="1"/>
  <c r="W6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V3" i="19"/>
  <c r="Q3" i="19"/>
  <c r="P3" i="19"/>
  <c r="J3" i="19"/>
  <c r="F3" i="19"/>
  <c r="E3" i="19"/>
  <c r="B3" i="19"/>
  <c r="O3" i="19" s="1"/>
  <c r="W2" i="19"/>
  <c r="P2" i="19"/>
  <c r="O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H14" i="18"/>
  <c r="B14" i="18"/>
  <c r="AB14" i="18" s="1"/>
  <c r="G13" i="18"/>
  <c r="B13" i="18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Z2" i="18"/>
  <c r="Y2" i="18"/>
  <c r="P2" i="18"/>
  <c r="O2" i="18"/>
  <c r="K2" i="18"/>
  <c r="J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Q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Y7" i="17"/>
  <c r="X7" i="17"/>
  <c r="W7" i="17"/>
  <c r="U7" i="17"/>
  <c r="T7" i="17"/>
  <c r="S7" i="17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L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U17" i="16"/>
  <c r="B17" i="16"/>
  <c r="B16" i="16"/>
  <c r="AA15" i="16"/>
  <c r="X15" i="16"/>
  <c r="K15" i="16"/>
  <c r="B15" i="16"/>
  <c r="Y15" i="16" s="1"/>
  <c r="G14" i="16"/>
  <c r="F14" i="16"/>
  <c r="C14" i="16"/>
  <c r="B14" i="16"/>
  <c r="AB14" i="16" s="1"/>
  <c r="W13" i="16"/>
  <c r="J13" i="16"/>
  <c r="D13" i="16"/>
  <c r="B13" i="16"/>
  <c r="X13" i="16" s="1"/>
  <c r="Y12" i="16"/>
  <c r="X12" i="16"/>
  <c r="W12" i="16"/>
  <c r="I12" i="16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X7" i="16"/>
  <c r="V7" i="16"/>
  <c r="T7" i="16"/>
  <c r="S7" i="16"/>
  <c r="G7" i="16"/>
  <c r="B7" i="16"/>
  <c r="B6" i="16"/>
  <c r="E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Q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G15" i="15"/>
  <c r="E15" i="15"/>
  <c r="C15" i="15"/>
  <c r="B15" i="15"/>
  <c r="O14" i="15"/>
  <c r="N14" i="15"/>
  <c r="M14" i="15"/>
  <c r="E14" i="15"/>
  <c r="D14" i="15"/>
  <c r="B14" i="15"/>
  <c r="AB14" i="15" s="1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R12" i="15"/>
  <c r="Q12" i="15"/>
  <c r="P12" i="15"/>
  <c r="O12" i="15"/>
  <c r="N12" i="15"/>
  <c r="M12" i="15"/>
  <c r="L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Y8" i="15"/>
  <c r="R8" i="15"/>
  <c r="O8" i="15"/>
  <c r="K8" i="15"/>
  <c r="J8" i="15"/>
  <c r="H8" i="15"/>
  <c r="B8" i="15"/>
  <c r="AA7" i="15"/>
  <c r="Z7" i="15"/>
  <c r="Y7" i="15"/>
  <c r="W7" i="15"/>
  <c r="S7" i="15"/>
  <c r="R7" i="15"/>
  <c r="N7" i="15"/>
  <c r="M7" i="15"/>
  <c r="L7" i="15"/>
  <c r="K7" i="15"/>
  <c r="J7" i="15"/>
  <c r="I7" i="15"/>
  <c r="H7" i="15"/>
  <c r="F7" i="15"/>
  <c r="E7" i="15"/>
  <c r="D7" i="15"/>
  <c r="C7" i="15"/>
  <c r="B7" i="15"/>
  <c r="AB7" i="15" s="1"/>
  <c r="O6" i="15"/>
  <c r="N6" i="15"/>
  <c r="M6" i="15"/>
  <c r="L6" i="15"/>
  <c r="K6" i="15"/>
  <c r="E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B3" i="15"/>
  <c r="AB2" i="15"/>
  <c r="AA2" i="15"/>
  <c r="Z2" i="15"/>
  <c r="S2" i="15"/>
  <c r="R2" i="15"/>
  <c r="N2" i="15"/>
  <c r="M2" i="15"/>
  <c r="L2" i="15"/>
  <c r="K2" i="15"/>
  <c r="J2" i="15"/>
  <c r="I2" i="15"/>
  <c r="H2" i="15"/>
  <c r="F2" i="15"/>
  <c r="E2" i="15"/>
  <c r="D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W15" i="14"/>
  <c r="V15" i="14"/>
  <c r="U15" i="14"/>
  <c r="T15" i="14"/>
  <c r="S15" i="14"/>
  <c r="R15" i="14"/>
  <c r="Q15" i="14"/>
  <c r="O15" i="14"/>
  <c r="N15" i="14"/>
  <c r="M15" i="14"/>
  <c r="L15" i="14"/>
  <c r="K15" i="14"/>
  <c r="J15" i="14"/>
  <c r="F15" i="14"/>
  <c r="E15" i="14"/>
  <c r="D15" i="14"/>
  <c r="B15" i="14"/>
  <c r="X15" i="14" s="1"/>
  <c r="B14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X7" i="14"/>
  <c r="W7" i="14"/>
  <c r="S7" i="14"/>
  <c r="R7" i="14"/>
  <c r="P7" i="14"/>
  <c r="O7" i="14"/>
  <c r="N7" i="14"/>
  <c r="M7" i="14"/>
  <c r="L7" i="14"/>
  <c r="I7" i="14"/>
  <c r="H7" i="14"/>
  <c r="G7" i="14"/>
  <c r="D7" i="14"/>
  <c r="C7" i="14"/>
  <c r="B7" i="14"/>
  <c r="R6" i="14"/>
  <c r="Q6" i="14"/>
  <c r="O6" i="14"/>
  <c r="F6" i="14"/>
  <c r="B6" i="14"/>
  <c r="P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Z3" i="14"/>
  <c r="W3" i="14"/>
  <c r="V3" i="14"/>
  <c r="U3" i="14"/>
  <c r="S3" i="14"/>
  <c r="P3" i="14"/>
  <c r="N3" i="14"/>
  <c r="M3" i="14"/>
  <c r="L3" i="14"/>
  <c r="K3" i="14"/>
  <c r="J3" i="14"/>
  <c r="I3" i="14"/>
  <c r="B3" i="14"/>
  <c r="X2" i="14"/>
  <c r="V2" i="14"/>
  <c r="U2" i="14"/>
  <c r="P2" i="14"/>
  <c r="O2" i="14"/>
  <c r="M2" i="14"/>
  <c r="L2" i="14"/>
  <c r="G2" i="14"/>
  <c r="F2" i="14"/>
  <c r="E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F15" i="13"/>
  <c r="E15" i="13"/>
  <c r="C15" i="13"/>
  <c r="B15" i="13"/>
  <c r="AA14" i="13"/>
  <c r="Y14" i="13"/>
  <c r="W14" i="13"/>
  <c r="V14" i="13"/>
  <c r="T14" i="13"/>
  <c r="Q14" i="13"/>
  <c r="P14" i="13"/>
  <c r="B14" i="13"/>
  <c r="Y13" i="13"/>
  <c r="X13" i="13"/>
  <c r="V13" i="13"/>
  <c r="U13" i="13"/>
  <c r="T13" i="13"/>
  <c r="S13" i="13"/>
  <c r="R13" i="13"/>
  <c r="O13" i="13"/>
  <c r="N13" i="13"/>
  <c r="M13" i="13"/>
  <c r="H13" i="13"/>
  <c r="G13" i="13"/>
  <c r="F13" i="13"/>
  <c r="B13" i="13"/>
  <c r="B12" i="13"/>
  <c r="L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Q8" i="13"/>
  <c r="K8" i="13"/>
  <c r="J8" i="13"/>
  <c r="I8" i="13"/>
  <c r="G8" i="13"/>
  <c r="F8" i="13"/>
  <c r="E8" i="13"/>
  <c r="B8" i="13"/>
  <c r="AA8" i="13" s="1"/>
  <c r="AB7" i="13"/>
  <c r="AA7" i="13"/>
  <c r="Z7" i="13"/>
  <c r="W7" i="13"/>
  <c r="U7" i="13"/>
  <c r="S7" i="13"/>
  <c r="R7" i="13"/>
  <c r="N7" i="13"/>
  <c r="M7" i="13"/>
  <c r="L7" i="13"/>
  <c r="I7" i="13"/>
  <c r="G7" i="13"/>
  <c r="B7" i="13"/>
  <c r="M6" i="13"/>
  <c r="K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D3" i="13" s="1"/>
  <c r="AB2" i="13"/>
  <c r="Y2" i="13"/>
  <c r="X2" i="13"/>
  <c r="V2" i="13"/>
  <c r="U2" i="13"/>
  <c r="R2" i="13"/>
  <c r="Q2" i="13"/>
  <c r="J2" i="13"/>
  <c r="F2" i="13"/>
  <c r="E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O17" i="12"/>
  <c r="B17" i="12"/>
  <c r="G17" i="12" s="1"/>
  <c r="AB16" i="12"/>
  <c r="AA16" i="12"/>
  <c r="Z16" i="12"/>
  <c r="J16" i="12"/>
  <c r="C16" i="12"/>
  <c r="B16" i="12"/>
  <c r="AA15" i="12"/>
  <c r="Z15" i="12"/>
  <c r="R15" i="12"/>
  <c r="O15" i="12"/>
  <c r="N15" i="12"/>
  <c r="M15" i="12"/>
  <c r="K15" i="12"/>
  <c r="J15" i="12"/>
  <c r="I15" i="12"/>
  <c r="G15" i="12"/>
  <c r="B15" i="12"/>
  <c r="H15" i="12" s="1"/>
  <c r="AB14" i="12"/>
  <c r="Y14" i="12"/>
  <c r="W14" i="12"/>
  <c r="V14" i="12"/>
  <c r="R14" i="12"/>
  <c r="Q14" i="12"/>
  <c r="L14" i="12"/>
  <c r="K14" i="12"/>
  <c r="B14" i="12"/>
  <c r="X14" i="12" s="1"/>
  <c r="B13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W8" i="12"/>
  <c r="U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V8" i="12" s="1"/>
  <c r="AA7" i="12"/>
  <c r="Z7" i="12"/>
  <c r="Y7" i="12"/>
  <c r="X7" i="12"/>
  <c r="W7" i="12"/>
  <c r="V7" i="12"/>
  <c r="P7" i="12"/>
  <c r="J7" i="12"/>
  <c r="B7" i="12"/>
  <c r="K7" i="12" s="1"/>
  <c r="W6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K3" i="12"/>
  <c r="J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C17" i="11"/>
  <c r="B17" i="11"/>
  <c r="AB16" i="11"/>
  <c r="Y16" i="11"/>
  <c r="W16" i="11"/>
  <c r="V16" i="11"/>
  <c r="D16" i="11"/>
  <c r="B16" i="11"/>
  <c r="AA16" i="11" s="1"/>
  <c r="W15" i="11"/>
  <c r="B15" i="11"/>
  <c r="R15" i="11" s="1"/>
  <c r="B14" i="11"/>
  <c r="B13" i="11"/>
  <c r="AB13" i="11" s="1"/>
  <c r="AB12" i="11"/>
  <c r="Z12" i="11"/>
  <c r="Y12" i="11"/>
  <c r="X12" i="11"/>
  <c r="U12" i="11"/>
  <c r="T12" i="11"/>
  <c r="P12" i="11"/>
  <c r="O12" i="11"/>
  <c r="M12" i="11"/>
  <c r="L12" i="11"/>
  <c r="K12" i="11"/>
  <c r="J12" i="11"/>
  <c r="G12" i="11"/>
  <c r="F12" i="11"/>
  <c r="E12" i="11"/>
  <c r="B12" i="11"/>
  <c r="I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Q8" i="11"/>
  <c r="P8" i="11"/>
  <c r="O8" i="11"/>
  <c r="N8" i="11"/>
  <c r="K8" i="11"/>
  <c r="J8" i="11"/>
  <c r="I8" i="11"/>
  <c r="E8" i="11"/>
  <c r="D8" i="11"/>
  <c r="B8" i="11"/>
  <c r="M7" i="11"/>
  <c r="L7" i="11"/>
  <c r="K7" i="11"/>
  <c r="B7" i="11"/>
  <c r="E7" i="11" s="1"/>
  <c r="U6" i="11"/>
  <c r="G6" i="11"/>
  <c r="B6" i="11"/>
  <c r="X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K3" i="11"/>
  <c r="B3" i="11"/>
  <c r="M3" i="11" s="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Z15" i="10"/>
  <c r="W15" i="10"/>
  <c r="T15" i="10"/>
  <c r="F15" i="10"/>
  <c r="D15" i="10"/>
  <c r="C15" i="10"/>
  <c r="B15" i="10"/>
  <c r="R15" i="10" s="1"/>
  <c r="AA14" i="10"/>
  <c r="Y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H14" i="10"/>
  <c r="G14" i="10"/>
  <c r="F14" i="10"/>
  <c r="E14" i="10"/>
  <c r="C14" i="10"/>
  <c r="B14" i="10"/>
  <c r="W14" i="10" s="1"/>
  <c r="AA13" i="10"/>
  <c r="P13" i="10"/>
  <c r="M13" i="10"/>
  <c r="H13" i="10"/>
  <c r="F13" i="10"/>
  <c r="D13" i="10"/>
  <c r="B13" i="10"/>
  <c r="AA12" i="10"/>
  <c r="Z12" i="10"/>
  <c r="B12" i="10"/>
  <c r="C11" i="10"/>
  <c r="B11" i="10"/>
  <c r="B10" i="10"/>
  <c r="B9" i="10"/>
  <c r="AB8" i="10"/>
  <c r="Z8" i="10"/>
  <c r="K8" i="10"/>
  <c r="G8" i="10"/>
  <c r="B8" i="10"/>
  <c r="Q8" i="10" s="1"/>
  <c r="X7" i="10"/>
  <c r="B7" i="10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J3" i="10" s="1"/>
  <c r="AA2" i="10"/>
  <c r="Z2" i="10"/>
  <c r="Y2" i="10"/>
  <c r="U2" i="10"/>
  <c r="C2" i="10"/>
  <c r="B2" i="10"/>
  <c r="V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K15" i="9" s="1"/>
  <c r="B14" i="9"/>
  <c r="W14" i="9" s="1"/>
  <c r="B13" i="9"/>
  <c r="AB12" i="9"/>
  <c r="AA12" i="9"/>
  <c r="Z12" i="9"/>
  <c r="X12" i="9"/>
  <c r="W12" i="9"/>
  <c r="U12" i="9"/>
  <c r="S12" i="9"/>
  <c r="O12" i="9"/>
  <c r="J12" i="9"/>
  <c r="H12" i="9"/>
  <c r="E12" i="9"/>
  <c r="C12" i="9"/>
  <c r="B12" i="9"/>
  <c r="Y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X8" i="9"/>
  <c r="K8" i="9"/>
  <c r="I8" i="9"/>
  <c r="E8" i="9"/>
  <c r="B8" i="9"/>
  <c r="AB7" i="9"/>
  <c r="AA7" i="9"/>
  <c r="X7" i="9"/>
  <c r="V7" i="9"/>
  <c r="U7" i="9"/>
  <c r="T7" i="9"/>
  <c r="R7" i="9"/>
  <c r="B7" i="9"/>
  <c r="S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N15" i="8"/>
  <c r="M15" i="8"/>
  <c r="L15" i="8"/>
  <c r="K15" i="8"/>
  <c r="J15" i="8"/>
  <c r="I15" i="8"/>
  <c r="H15" i="8"/>
  <c r="G15" i="8"/>
  <c r="F15" i="8"/>
  <c r="E15" i="8"/>
  <c r="B15" i="8"/>
  <c r="AA14" i="8"/>
  <c r="M14" i="8"/>
  <c r="L14" i="8"/>
  <c r="K14" i="8"/>
  <c r="J14" i="8"/>
  <c r="I14" i="8"/>
  <c r="H14" i="8"/>
  <c r="G14" i="8"/>
  <c r="B14" i="8"/>
  <c r="B13" i="8"/>
  <c r="J13" i="8" s="1"/>
  <c r="B12" i="8"/>
  <c r="C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V8" i="8"/>
  <c r="T8" i="8"/>
  <c r="R8" i="8"/>
  <c r="B8" i="8"/>
  <c r="Z7" i="8"/>
  <c r="Y7" i="8"/>
  <c r="W7" i="8"/>
  <c r="T7" i="8"/>
  <c r="B7" i="8"/>
  <c r="S7" i="8" s="1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A3" i="8"/>
  <c r="L3" i="8"/>
  <c r="K3" i="8"/>
  <c r="B3" i="8"/>
  <c r="B2" i="8"/>
  <c r="U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S17" i="7"/>
  <c r="B17" i="7"/>
  <c r="T17" i="7" s="1"/>
  <c r="N16" i="7"/>
  <c r="M16" i="7"/>
  <c r="L16" i="7"/>
  <c r="J16" i="7"/>
  <c r="H16" i="7"/>
  <c r="G16" i="7"/>
  <c r="B16" i="7"/>
  <c r="AA16" i="7" s="1"/>
  <c r="B15" i="7"/>
  <c r="AB14" i="7"/>
  <c r="AA14" i="7"/>
  <c r="B14" i="7"/>
  <c r="AB13" i="7"/>
  <c r="AA13" i="7"/>
  <c r="X13" i="7"/>
  <c r="W13" i="7"/>
  <c r="V13" i="7"/>
  <c r="R13" i="7"/>
  <c r="Q13" i="7"/>
  <c r="O13" i="7"/>
  <c r="K13" i="7"/>
  <c r="J13" i="7"/>
  <c r="I13" i="7"/>
  <c r="H13" i="7"/>
  <c r="B13" i="7"/>
  <c r="S12" i="7"/>
  <c r="R12" i="7"/>
  <c r="P12" i="7"/>
  <c r="M12" i="7"/>
  <c r="L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B8" i="7"/>
  <c r="W8" i="7" s="1"/>
  <c r="Z7" i="7"/>
  <c r="Y7" i="7"/>
  <c r="W7" i="7"/>
  <c r="V7" i="7"/>
  <c r="U7" i="7"/>
  <c r="R7" i="7"/>
  <c r="C7" i="7"/>
  <c r="B7" i="7"/>
  <c r="AB6" i="7"/>
  <c r="Z6" i="7"/>
  <c r="X6" i="7"/>
  <c r="W6" i="7"/>
  <c r="V6" i="7"/>
  <c r="U6" i="7"/>
  <c r="S6" i="7"/>
  <c r="R6" i="7"/>
  <c r="Q6" i="7"/>
  <c r="P6" i="7"/>
  <c r="O6" i="7"/>
  <c r="B6" i="7"/>
  <c r="I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T3" i="7"/>
  <c r="B3" i="7"/>
  <c r="U3" i="7" s="1"/>
  <c r="Z2" i="7"/>
  <c r="S2" i="7"/>
  <c r="R2" i="7"/>
  <c r="Q2" i="7"/>
  <c r="P2" i="7"/>
  <c r="O2" i="7"/>
  <c r="N2" i="7"/>
  <c r="L2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F17" i="6"/>
  <c r="D17" i="6"/>
  <c r="B17" i="6"/>
  <c r="E16" i="6"/>
  <c r="D16" i="6"/>
  <c r="C16" i="6"/>
  <c r="B16" i="6"/>
  <c r="AA15" i="6"/>
  <c r="Z15" i="6"/>
  <c r="Y15" i="6"/>
  <c r="W15" i="6"/>
  <c r="V15" i="6"/>
  <c r="U15" i="6"/>
  <c r="S15" i="6"/>
  <c r="R15" i="6"/>
  <c r="Q15" i="6"/>
  <c r="P15" i="6"/>
  <c r="O15" i="6"/>
  <c r="N15" i="6"/>
  <c r="M15" i="6"/>
  <c r="K15" i="6"/>
  <c r="J15" i="6"/>
  <c r="I15" i="6"/>
  <c r="F15" i="6"/>
  <c r="B15" i="6"/>
  <c r="AB15" i="6" s="1"/>
  <c r="AB14" i="6"/>
  <c r="AA14" i="6"/>
  <c r="Y14" i="6"/>
  <c r="W14" i="6"/>
  <c r="T14" i="6"/>
  <c r="S14" i="6"/>
  <c r="R14" i="6"/>
  <c r="Q14" i="6"/>
  <c r="P14" i="6"/>
  <c r="O14" i="6"/>
  <c r="N14" i="6"/>
  <c r="L14" i="6"/>
  <c r="K14" i="6"/>
  <c r="J14" i="6"/>
  <c r="F14" i="6"/>
  <c r="E14" i="6"/>
  <c r="D14" i="6"/>
  <c r="C14" i="6"/>
  <c r="B14" i="6"/>
  <c r="B13" i="6"/>
  <c r="G13" i="6" s="1"/>
  <c r="AB12" i="6"/>
  <c r="V12" i="6"/>
  <c r="U12" i="6"/>
  <c r="T12" i="6"/>
  <c r="S12" i="6"/>
  <c r="R12" i="6"/>
  <c r="P12" i="6"/>
  <c r="N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B7" i="6"/>
  <c r="J7" i="6" s="1"/>
  <c r="AB6" i="6"/>
  <c r="AA6" i="6"/>
  <c r="P6" i="6"/>
  <c r="O6" i="6"/>
  <c r="N6" i="6"/>
  <c r="M6" i="6"/>
  <c r="B6" i="6"/>
  <c r="L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O3" i="6"/>
  <c r="M3" i="6"/>
  <c r="L3" i="6"/>
  <c r="K3" i="6"/>
  <c r="F3" i="6"/>
  <c r="C3" i="6"/>
  <c r="B3" i="6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T17" i="5"/>
  <c r="S17" i="5"/>
  <c r="R17" i="5"/>
  <c r="Q17" i="5"/>
  <c r="P17" i="5"/>
  <c r="O17" i="5"/>
  <c r="L17" i="5"/>
  <c r="K17" i="5"/>
  <c r="J17" i="5"/>
  <c r="D17" i="5"/>
  <c r="B17" i="5"/>
  <c r="B16" i="5"/>
  <c r="AB15" i="5"/>
  <c r="AA15" i="5"/>
  <c r="Z15" i="5"/>
  <c r="W15" i="5"/>
  <c r="V15" i="5"/>
  <c r="U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X15" i="5" s="1"/>
  <c r="B14" i="5"/>
  <c r="W14" i="5" s="1"/>
  <c r="B13" i="5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N7" i="5"/>
  <c r="I7" i="5"/>
  <c r="B7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Q3" i="5"/>
  <c r="N3" i="5"/>
  <c r="M3" i="5"/>
  <c r="L3" i="5"/>
  <c r="B3" i="5"/>
  <c r="F2" i="5"/>
  <c r="E2" i="5"/>
  <c r="B2" i="5"/>
  <c r="D2" i="5" s="1"/>
  <c r="B2" i="1"/>
  <c r="M15" i="9" l="1"/>
  <c r="Z15" i="9"/>
  <c r="AA13" i="9"/>
  <c r="Y13" i="9"/>
  <c r="W13" i="9"/>
  <c r="S13" i="9"/>
  <c r="K13" i="6"/>
  <c r="W8" i="9"/>
  <c r="Y8" i="9"/>
  <c r="M8" i="9"/>
  <c r="G8" i="9"/>
  <c r="F8" i="9"/>
  <c r="U8" i="9"/>
  <c r="T8" i="9"/>
  <c r="S8" i="9"/>
  <c r="R8" i="9"/>
  <c r="Q8" i="9"/>
  <c r="P8" i="9"/>
  <c r="O8" i="9"/>
  <c r="N8" i="9"/>
  <c r="L8" i="9"/>
  <c r="AB8" i="9"/>
  <c r="AA14" i="9"/>
  <c r="H7" i="11"/>
  <c r="U3" i="12"/>
  <c r="I3" i="12"/>
  <c r="AA3" i="12"/>
  <c r="Z3" i="12"/>
  <c r="Y3" i="12"/>
  <c r="P3" i="12"/>
  <c r="N3" i="12"/>
  <c r="T3" i="12"/>
  <c r="M3" i="12"/>
  <c r="L3" i="12"/>
  <c r="F3" i="12"/>
  <c r="AB13" i="5"/>
  <c r="Z13" i="5"/>
  <c r="Q3" i="10"/>
  <c r="W3" i="5"/>
  <c r="T3" i="5"/>
  <c r="V3" i="5"/>
  <c r="U3" i="5"/>
  <c r="S3" i="5"/>
  <c r="G7" i="7"/>
  <c r="M7" i="7"/>
  <c r="J7" i="7"/>
  <c r="E7" i="7"/>
  <c r="D7" i="7"/>
  <c r="Q7" i="7"/>
  <c r="P7" i="7"/>
  <c r="N7" i="7"/>
  <c r="O7" i="7"/>
  <c r="K7" i="7"/>
  <c r="H7" i="7"/>
  <c r="F7" i="7"/>
  <c r="L7" i="7"/>
  <c r="I7" i="7"/>
  <c r="S7" i="7"/>
  <c r="C8" i="9"/>
  <c r="AB14" i="9"/>
  <c r="Z13" i="10"/>
  <c r="Y13" i="10"/>
  <c r="I7" i="11"/>
  <c r="G3" i="12"/>
  <c r="X15" i="7"/>
  <c r="S15" i="7"/>
  <c r="V15" i="7"/>
  <c r="Q15" i="7"/>
  <c r="P15" i="7"/>
  <c r="T15" i="7"/>
  <c r="J15" i="7"/>
  <c r="R15" i="7"/>
  <c r="K15" i="7"/>
  <c r="O15" i="7"/>
  <c r="L15" i="7"/>
  <c r="N15" i="7"/>
  <c r="M15" i="7"/>
  <c r="I15" i="7"/>
  <c r="W15" i="7"/>
  <c r="F13" i="5"/>
  <c r="C3" i="13"/>
  <c r="E17" i="13"/>
  <c r="L6" i="16"/>
  <c r="H13" i="5"/>
  <c r="AA7" i="7"/>
  <c r="U15" i="7"/>
  <c r="C13" i="8"/>
  <c r="M13" i="9"/>
  <c r="H12" i="12"/>
  <c r="M6" i="16"/>
  <c r="AB13" i="14"/>
  <c r="Q13" i="14"/>
  <c r="N13" i="14"/>
  <c r="E13" i="14"/>
  <c r="X13" i="14"/>
  <c r="S13" i="14"/>
  <c r="R13" i="14"/>
  <c r="K13" i="14"/>
  <c r="G13" i="14"/>
  <c r="G15" i="7"/>
  <c r="Z12" i="8"/>
  <c r="C13" i="9"/>
  <c r="AB13" i="6"/>
  <c r="T13" i="6"/>
  <c r="H13" i="6"/>
  <c r="Y13" i="6"/>
  <c r="V13" i="6"/>
  <c r="O13" i="6"/>
  <c r="S13" i="6"/>
  <c r="Q13" i="6"/>
  <c r="R13" i="6"/>
  <c r="P13" i="6"/>
  <c r="N13" i="6"/>
  <c r="C12" i="12"/>
  <c r="I13" i="5"/>
  <c r="I13" i="6"/>
  <c r="N17" i="6"/>
  <c r="M17" i="6"/>
  <c r="E17" i="6"/>
  <c r="AA17" i="6"/>
  <c r="Z17" i="6"/>
  <c r="X17" i="6"/>
  <c r="AB17" i="6"/>
  <c r="V17" i="6"/>
  <c r="S17" i="6"/>
  <c r="W17" i="6"/>
  <c r="U17" i="6"/>
  <c r="T17" i="6"/>
  <c r="C17" i="6"/>
  <c r="AB7" i="7"/>
  <c r="Y15" i="7"/>
  <c r="E13" i="8"/>
  <c r="Q13" i="9"/>
  <c r="Z12" i="12"/>
  <c r="D13" i="5"/>
  <c r="X15" i="19"/>
  <c r="AB15" i="19"/>
  <c r="AA15" i="19"/>
  <c r="Y15" i="19"/>
  <c r="W15" i="19"/>
  <c r="Q15" i="19"/>
  <c r="P15" i="19"/>
  <c r="O15" i="19"/>
  <c r="M15" i="19"/>
  <c r="L15" i="19"/>
  <c r="G15" i="19"/>
  <c r="F15" i="19"/>
  <c r="E15" i="19"/>
  <c r="C15" i="19"/>
  <c r="G13" i="5"/>
  <c r="X17" i="18"/>
  <c r="U17" i="18"/>
  <c r="S17" i="18"/>
  <c r="P17" i="18"/>
  <c r="O17" i="18"/>
  <c r="N17" i="18"/>
  <c r="M17" i="18"/>
  <c r="L17" i="18"/>
  <c r="J17" i="18"/>
  <c r="G17" i="18"/>
  <c r="E17" i="18"/>
  <c r="D17" i="18"/>
  <c r="C17" i="18"/>
  <c r="AA17" i="18"/>
  <c r="Y17" i="18"/>
  <c r="W17" i="18"/>
  <c r="AB17" i="18"/>
  <c r="I17" i="18"/>
  <c r="V17" i="18"/>
  <c r="T17" i="18"/>
  <c r="R17" i="18"/>
  <c r="AA15" i="9"/>
  <c r="Y15" i="9"/>
  <c r="AA3" i="13"/>
  <c r="V3" i="13"/>
  <c r="K3" i="13"/>
  <c r="AB3" i="13"/>
  <c r="W3" i="13"/>
  <c r="N3" i="13"/>
  <c r="M3" i="13"/>
  <c r="P3" i="13"/>
  <c r="L3" i="13"/>
  <c r="J3" i="13"/>
  <c r="I3" i="13"/>
  <c r="F3" i="13"/>
  <c r="E3" i="13"/>
  <c r="C17" i="13"/>
  <c r="AB8" i="6"/>
  <c r="U8" i="6"/>
  <c r="G8" i="6"/>
  <c r="E8" i="6"/>
  <c r="Z15" i="7"/>
  <c r="M13" i="5"/>
  <c r="J6" i="5"/>
  <c r="R13" i="5"/>
  <c r="H8" i="6"/>
  <c r="C14" i="9"/>
  <c r="Y13" i="11"/>
  <c r="I12" i="13"/>
  <c r="Q17" i="18"/>
  <c r="T13" i="8"/>
  <c r="F13" i="8"/>
  <c r="AA13" i="8"/>
  <c r="X13" i="8"/>
  <c r="V13" i="8"/>
  <c r="U13" i="8"/>
  <c r="R13" i="8"/>
  <c r="N13" i="8"/>
  <c r="S13" i="8"/>
  <c r="O13" i="8"/>
  <c r="Q13" i="8"/>
  <c r="P13" i="8"/>
  <c r="M13" i="8"/>
  <c r="AB13" i="8"/>
  <c r="J13" i="5"/>
  <c r="X13" i="9"/>
  <c r="E8" i="7"/>
  <c r="H17" i="6"/>
  <c r="G8" i="7"/>
  <c r="V2" i="8"/>
  <c r="K6" i="5"/>
  <c r="X13" i="5"/>
  <c r="I8" i="6"/>
  <c r="J17" i="6"/>
  <c r="U8" i="7"/>
  <c r="W2" i="8"/>
  <c r="K13" i="8"/>
  <c r="D14" i="9"/>
  <c r="AA13" i="11"/>
  <c r="J12" i="13"/>
  <c r="AA7" i="19"/>
  <c r="U7" i="19"/>
  <c r="R7" i="19"/>
  <c r="M7" i="19"/>
  <c r="H7" i="19"/>
  <c r="G7" i="19"/>
  <c r="F7" i="19"/>
  <c r="C7" i="19"/>
  <c r="E15" i="7"/>
  <c r="V12" i="8"/>
  <c r="AA12" i="12"/>
  <c r="M13" i="11"/>
  <c r="G17" i="6"/>
  <c r="V13" i="11"/>
  <c r="M6" i="5"/>
  <c r="Y13" i="5"/>
  <c r="J8" i="6"/>
  <c r="K17" i="6"/>
  <c r="O12" i="7"/>
  <c r="N12" i="7"/>
  <c r="J12" i="7"/>
  <c r="H12" i="7"/>
  <c r="AB12" i="7"/>
  <c r="X12" i="7"/>
  <c r="Y12" i="7"/>
  <c r="W12" i="7"/>
  <c r="T12" i="7"/>
  <c r="V12" i="7"/>
  <c r="Z2" i="8"/>
  <c r="L13" i="8"/>
  <c r="E14" i="9"/>
  <c r="D15" i="7"/>
  <c r="Z17" i="9"/>
  <c r="X17" i="9"/>
  <c r="U17" i="9"/>
  <c r="S17" i="9"/>
  <c r="R17" i="9"/>
  <c r="T17" i="9"/>
  <c r="Q17" i="9"/>
  <c r="P17" i="9"/>
  <c r="O17" i="9"/>
  <c r="M17" i="9"/>
  <c r="K17" i="9"/>
  <c r="J17" i="9"/>
  <c r="G17" i="9"/>
  <c r="F17" i="9"/>
  <c r="AA17" i="9"/>
  <c r="F15" i="7"/>
  <c r="E17" i="9"/>
  <c r="X8" i="7"/>
  <c r="J8" i="7"/>
  <c r="H8" i="7"/>
  <c r="D8" i="7"/>
  <c r="C8" i="7"/>
  <c r="T8" i="7"/>
  <c r="R8" i="7"/>
  <c r="K8" i="7"/>
  <c r="M8" i="7"/>
  <c r="Q8" i="7"/>
  <c r="P8" i="7"/>
  <c r="N8" i="7"/>
  <c r="L8" i="7"/>
  <c r="I8" i="7"/>
  <c r="V8" i="7"/>
  <c r="AB12" i="13"/>
  <c r="T12" i="13"/>
  <c r="H12" i="13"/>
  <c r="D12" i="13"/>
  <c r="X12" i="13"/>
  <c r="W12" i="13"/>
  <c r="V12" i="13"/>
  <c r="U12" i="13"/>
  <c r="S12" i="13"/>
  <c r="R12" i="13"/>
  <c r="W13" i="8"/>
  <c r="P14" i="9"/>
  <c r="Z6" i="16"/>
  <c r="O6" i="16"/>
  <c r="K6" i="16"/>
  <c r="H6" i="16"/>
  <c r="G6" i="16"/>
  <c r="F6" i="16"/>
  <c r="N6" i="16"/>
  <c r="W6" i="16"/>
  <c r="V6" i="16"/>
  <c r="T6" i="16"/>
  <c r="S6" i="16"/>
  <c r="Q6" i="16"/>
  <c r="J6" i="16"/>
  <c r="I6" i="16"/>
  <c r="H15" i="7"/>
  <c r="D13" i="9"/>
  <c r="AA15" i="7"/>
  <c r="S2" i="8"/>
  <c r="H13" i="8"/>
  <c r="Z13" i="9"/>
  <c r="D8" i="6"/>
  <c r="AA2" i="8"/>
  <c r="S14" i="11"/>
  <c r="U14" i="11"/>
  <c r="L14" i="11"/>
  <c r="V14" i="11"/>
  <c r="T14" i="11"/>
  <c r="R14" i="11"/>
  <c r="P14" i="11"/>
  <c r="O14" i="11"/>
  <c r="M14" i="11"/>
  <c r="K14" i="11"/>
  <c r="J14" i="11"/>
  <c r="I14" i="11"/>
  <c r="G14" i="11"/>
  <c r="H14" i="11"/>
  <c r="F14" i="11"/>
  <c r="E14" i="11"/>
  <c r="C14" i="11"/>
  <c r="Q14" i="11"/>
  <c r="N14" i="11"/>
  <c r="J3" i="8"/>
  <c r="G3" i="8"/>
  <c r="N3" i="8"/>
  <c r="I3" i="8"/>
  <c r="H3" i="8"/>
  <c r="Z3" i="8"/>
  <c r="S3" i="8"/>
  <c r="Q3" i="8"/>
  <c r="W3" i="8"/>
  <c r="P3" i="8"/>
  <c r="V3" i="8"/>
  <c r="R3" i="8"/>
  <c r="O3" i="8"/>
  <c r="M3" i="8"/>
  <c r="AB3" i="8"/>
  <c r="C7" i="11"/>
  <c r="AB6" i="18"/>
  <c r="AA6" i="18"/>
  <c r="X6" i="18"/>
  <c r="W6" i="18"/>
  <c r="Q6" i="18"/>
  <c r="K6" i="18"/>
  <c r="J6" i="18"/>
  <c r="I6" i="18"/>
  <c r="P6" i="18"/>
  <c r="O6" i="18"/>
  <c r="E6" i="18"/>
  <c r="C15" i="7"/>
  <c r="G13" i="8"/>
  <c r="E6" i="5"/>
  <c r="M13" i="6"/>
  <c r="I6" i="5"/>
  <c r="F8" i="7"/>
  <c r="AB15" i="7"/>
  <c r="I13" i="8"/>
  <c r="R6" i="5"/>
  <c r="W6" i="5"/>
  <c r="O17" i="6"/>
  <c r="Z8" i="7"/>
  <c r="E12" i="7"/>
  <c r="X14" i="8"/>
  <c r="Q14" i="8"/>
  <c r="AB14" i="8"/>
  <c r="D14" i="8"/>
  <c r="W14" i="8"/>
  <c r="V14" i="8"/>
  <c r="Z14" i="8"/>
  <c r="Y14" i="8"/>
  <c r="O14" i="8"/>
  <c r="N14" i="8"/>
  <c r="U14" i="8"/>
  <c r="R14" i="8"/>
  <c r="T14" i="8"/>
  <c r="S14" i="8"/>
  <c r="P14" i="8"/>
  <c r="R14" i="9"/>
  <c r="W14" i="11"/>
  <c r="H8" i="8"/>
  <c r="Z8" i="8"/>
  <c r="Q8" i="8"/>
  <c r="M8" i="8"/>
  <c r="C14" i="8"/>
  <c r="U14" i="9"/>
  <c r="X14" i="11"/>
  <c r="X12" i="8"/>
  <c r="AB12" i="8"/>
  <c r="AA12" i="8"/>
  <c r="U12" i="8"/>
  <c r="T12" i="8"/>
  <c r="R12" i="8"/>
  <c r="O12" i="8"/>
  <c r="S12" i="8"/>
  <c r="Q12" i="8"/>
  <c r="N12" i="8"/>
  <c r="E12" i="8"/>
  <c r="H12" i="8"/>
  <c r="W12" i="8"/>
  <c r="W17" i="9"/>
  <c r="X13" i="11"/>
  <c r="J13" i="11"/>
  <c r="U13" i="11"/>
  <c r="R13" i="11"/>
  <c r="Q13" i="11"/>
  <c r="L13" i="11"/>
  <c r="K13" i="11"/>
  <c r="Z13" i="11"/>
  <c r="L17" i="6"/>
  <c r="Y8" i="7"/>
  <c r="Q7" i="11"/>
  <c r="AB7" i="11"/>
  <c r="D7" i="11"/>
  <c r="S7" i="11"/>
  <c r="U7" i="11"/>
  <c r="R7" i="11"/>
  <c r="O7" i="11"/>
  <c r="N7" i="11"/>
  <c r="AA7" i="11"/>
  <c r="Z7" i="11"/>
  <c r="X7" i="11"/>
  <c r="W7" i="11"/>
  <c r="V7" i="11"/>
  <c r="T7" i="11"/>
  <c r="P7" i="11"/>
  <c r="J7" i="11"/>
  <c r="M12" i="13"/>
  <c r="Z14" i="7"/>
  <c r="V14" i="7"/>
  <c r="Y14" i="7"/>
  <c r="S14" i="7"/>
  <c r="R14" i="7"/>
  <c r="O14" i="7"/>
  <c r="N14" i="7"/>
  <c r="H14" i="7"/>
  <c r="F14" i="7"/>
  <c r="L14" i="7"/>
  <c r="I14" i="7"/>
  <c r="M14" i="7"/>
  <c r="D14" i="7"/>
  <c r="J14" i="7"/>
  <c r="T14" i="7"/>
  <c r="O12" i="13"/>
  <c r="C2" i="5"/>
  <c r="X6" i="5"/>
  <c r="P17" i="6"/>
  <c r="AA8" i="7"/>
  <c r="F12" i="7"/>
  <c r="Q14" i="7"/>
  <c r="C3" i="8"/>
  <c r="Z6" i="5"/>
  <c r="Q17" i="6"/>
  <c r="AB8" i="7"/>
  <c r="G12" i="7"/>
  <c r="U14" i="7"/>
  <c r="D3" i="8"/>
  <c r="L8" i="8"/>
  <c r="E14" i="8"/>
  <c r="AB12" i="10"/>
  <c r="G12" i="10"/>
  <c r="F7" i="11"/>
  <c r="AA14" i="11"/>
  <c r="D12" i="8"/>
  <c r="Y12" i="8"/>
  <c r="O2" i="8"/>
  <c r="F2" i="8"/>
  <c r="L2" i="8"/>
  <c r="G2" i="8"/>
  <c r="D2" i="8"/>
  <c r="R2" i="8"/>
  <c r="Q2" i="8"/>
  <c r="H2" i="8"/>
  <c r="N2" i="8"/>
  <c r="P2" i="8"/>
  <c r="K2" i="8"/>
  <c r="M2" i="8"/>
  <c r="I2" i="8"/>
  <c r="C2" i="8"/>
  <c r="T2" i="8"/>
  <c r="AB2" i="16"/>
  <c r="X2" i="16"/>
  <c r="W2" i="16"/>
  <c r="U2" i="16"/>
  <c r="P2" i="16"/>
  <c r="K2" i="16"/>
  <c r="D2" i="16"/>
  <c r="Y2" i="16"/>
  <c r="T2" i="16"/>
  <c r="AA2" i="16"/>
  <c r="K13" i="5"/>
  <c r="C8" i="6"/>
  <c r="X14" i="9"/>
  <c r="I14" i="9"/>
  <c r="Y14" i="9"/>
  <c r="V14" i="9"/>
  <c r="T14" i="9"/>
  <c r="S14" i="9"/>
  <c r="O14" i="9"/>
  <c r="N14" i="9"/>
  <c r="L14" i="9"/>
  <c r="M14" i="9"/>
  <c r="J14" i="9"/>
  <c r="K14" i="9"/>
  <c r="G14" i="9"/>
  <c r="H14" i="9"/>
  <c r="F14" i="9"/>
  <c r="Q14" i="9"/>
  <c r="D7" i="5"/>
  <c r="AB7" i="5"/>
  <c r="AA7" i="5"/>
  <c r="Y7" i="5"/>
  <c r="Z7" i="5"/>
  <c r="X7" i="5"/>
  <c r="V7" i="5"/>
  <c r="U7" i="5"/>
  <c r="W17" i="5"/>
  <c r="Y17" i="5"/>
  <c r="V17" i="5"/>
  <c r="X17" i="5"/>
  <c r="U17" i="5"/>
  <c r="W3" i="6"/>
  <c r="Q3" i="6"/>
  <c r="P3" i="6"/>
  <c r="Y3" i="6"/>
  <c r="U3" i="6"/>
  <c r="AA3" i="6"/>
  <c r="X3" i="6"/>
  <c r="V3" i="6"/>
  <c r="S3" i="6"/>
  <c r="R17" i="6"/>
  <c r="K12" i="7"/>
  <c r="X14" i="7"/>
  <c r="E3" i="8"/>
  <c r="F14" i="8"/>
  <c r="Z14" i="9"/>
  <c r="G7" i="11"/>
  <c r="AB14" i="11"/>
  <c r="AB6" i="13"/>
  <c r="Z6" i="13"/>
  <c r="J6" i="13"/>
  <c r="AA6" i="13"/>
  <c r="P6" i="13"/>
  <c r="O6" i="13"/>
  <c r="G6" i="13"/>
  <c r="Q15" i="10"/>
  <c r="U14" i="13"/>
  <c r="S14" i="13"/>
  <c r="R14" i="13"/>
  <c r="N14" i="13"/>
  <c r="O14" i="13"/>
  <c r="M14" i="13"/>
  <c r="L14" i="13"/>
  <c r="K14" i="13"/>
  <c r="J14" i="13"/>
  <c r="H14" i="13"/>
  <c r="F14" i="13"/>
  <c r="G6" i="15"/>
  <c r="J6" i="15"/>
  <c r="AA6" i="15"/>
  <c r="X6" i="15"/>
  <c r="W6" i="15"/>
  <c r="T6" i="15"/>
  <c r="S6" i="15"/>
  <c r="R6" i="15"/>
  <c r="AB6" i="15"/>
  <c r="V6" i="15"/>
  <c r="U6" i="15"/>
  <c r="Q6" i="15"/>
  <c r="P6" i="15"/>
  <c r="I6" i="15"/>
  <c r="U7" i="8"/>
  <c r="Z15" i="8"/>
  <c r="O15" i="8"/>
  <c r="E14" i="13"/>
  <c r="D6" i="15"/>
  <c r="X15" i="10"/>
  <c r="E15" i="10"/>
  <c r="AA15" i="10"/>
  <c r="Y15" i="10"/>
  <c r="V15" i="10"/>
  <c r="U15" i="10"/>
  <c r="X15" i="13"/>
  <c r="AB15" i="13"/>
  <c r="D15" i="13"/>
  <c r="R15" i="13"/>
  <c r="Q15" i="13"/>
  <c r="M15" i="13"/>
  <c r="T15" i="13"/>
  <c r="S15" i="13"/>
  <c r="P15" i="13"/>
  <c r="O15" i="13"/>
  <c r="N15" i="13"/>
  <c r="L15" i="13"/>
  <c r="K15" i="13"/>
  <c r="AA15" i="15"/>
  <c r="V15" i="15"/>
  <c r="U15" i="15"/>
  <c r="T15" i="15"/>
  <c r="K15" i="15"/>
  <c r="Q13" i="18"/>
  <c r="P13" i="18"/>
  <c r="H13" i="18"/>
  <c r="Z3" i="18"/>
  <c r="D3" i="18"/>
  <c r="Y3" i="18"/>
  <c r="S3" i="18"/>
  <c r="R3" i="18"/>
  <c r="Q3" i="18"/>
  <c r="M3" i="18"/>
  <c r="K3" i="18"/>
  <c r="J3" i="18"/>
  <c r="I3" i="18"/>
  <c r="Y7" i="9"/>
  <c r="W7" i="9"/>
  <c r="J7" i="9"/>
  <c r="D7" i="9"/>
  <c r="C7" i="9"/>
  <c r="W2" i="10"/>
  <c r="X2" i="10"/>
  <c r="L2" i="10"/>
  <c r="J2" i="10"/>
  <c r="G2" i="10"/>
  <c r="F2" i="10"/>
  <c r="G15" i="10"/>
  <c r="AA6" i="11"/>
  <c r="P6" i="11"/>
  <c r="O6" i="11"/>
  <c r="K6" i="11"/>
  <c r="I6" i="11"/>
  <c r="H6" i="11"/>
  <c r="G15" i="13"/>
  <c r="I15" i="15"/>
  <c r="E3" i="18"/>
  <c r="H15" i="10"/>
  <c r="C6" i="11"/>
  <c r="H15" i="13"/>
  <c r="S15" i="15"/>
  <c r="H3" i="18"/>
  <c r="AB17" i="7"/>
  <c r="H17" i="7"/>
  <c r="L17" i="7"/>
  <c r="G17" i="7"/>
  <c r="F17" i="7"/>
  <c r="Y3" i="9"/>
  <c r="G3" i="9"/>
  <c r="F3" i="9"/>
  <c r="G7" i="9"/>
  <c r="D2" i="10"/>
  <c r="I15" i="10"/>
  <c r="I2" i="11"/>
  <c r="E6" i="11"/>
  <c r="AB17" i="11"/>
  <c r="O17" i="11"/>
  <c r="J17" i="11"/>
  <c r="I15" i="13"/>
  <c r="U6" i="14"/>
  <c r="S6" i="14"/>
  <c r="K6" i="14"/>
  <c r="J6" i="14"/>
  <c r="E6" i="14"/>
  <c r="AA6" i="14"/>
  <c r="Z6" i="14"/>
  <c r="X6" i="14"/>
  <c r="W6" i="14"/>
  <c r="T6" i="14"/>
  <c r="X15" i="15"/>
  <c r="N3" i="18"/>
  <c r="C15" i="18"/>
  <c r="AB15" i="18"/>
  <c r="AA15" i="18"/>
  <c r="Y15" i="18"/>
  <c r="X15" i="18"/>
  <c r="W15" i="18"/>
  <c r="S15" i="18"/>
  <c r="K15" i="18"/>
  <c r="J15" i="18"/>
  <c r="E15" i="18"/>
  <c r="Z15" i="18"/>
  <c r="Q15" i="18"/>
  <c r="X3" i="7"/>
  <c r="V3" i="7"/>
  <c r="O3" i="7"/>
  <c r="K3" i="7"/>
  <c r="J3" i="7"/>
  <c r="H3" i="7"/>
  <c r="C3" i="9"/>
  <c r="E2" i="10"/>
  <c r="S7" i="12"/>
  <c r="AB7" i="12"/>
  <c r="J15" i="13"/>
  <c r="P3" i="15"/>
  <c r="E3" i="15"/>
  <c r="Z3" i="15"/>
  <c r="Y3" i="15"/>
  <c r="X3" i="15"/>
  <c r="T3" i="15"/>
  <c r="Q3" i="15"/>
  <c r="N3" i="15"/>
  <c r="K3" i="15"/>
  <c r="J3" i="15"/>
  <c r="I3" i="15"/>
  <c r="G3" i="15"/>
  <c r="F3" i="15"/>
  <c r="D3" i="15"/>
  <c r="C3" i="15"/>
  <c r="L3" i="15"/>
  <c r="Y15" i="15"/>
  <c r="P3" i="18"/>
  <c r="D15" i="18"/>
  <c r="F7" i="9"/>
  <c r="O14" i="5"/>
  <c r="D17" i="7"/>
  <c r="J7" i="8"/>
  <c r="E17" i="7"/>
  <c r="K15" i="10"/>
  <c r="X12" i="6"/>
  <c r="O12" i="6"/>
  <c r="Y12" i="6"/>
  <c r="W12" i="6"/>
  <c r="L3" i="7"/>
  <c r="I17" i="7"/>
  <c r="M7" i="8"/>
  <c r="K3" i="9"/>
  <c r="L7" i="9"/>
  <c r="H2" i="10"/>
  <c r="L15" i="10"/>
  <c r="Q2" i="11"/>
  <c r="J6" i="11"/>
  <c r="D17" i="11"/>
  <c r="D7" i="12"/>
  <c r="V15" i="13"/>
  <c r="G6" i="14"/>
  <c r="M3" i="15"/>
  <c r="V3" i="18"/>
  <c r="M15" i="18"/>
  <c r="M7" i="9"/>
  <c r="P3" i="11"/>
  <c r="L3" i="11"/>
  <c r="J3" i="11"/>
  <c r="H3" i="11"/>
  <c r="E3" i="11"/>
  <c r="L6" i="11"/>
  <c r="P17" i="11"/>
  <c r="E7" i="12"/>
  <c r="X15" i="12"/>
  <c r="L15" i="12"/>
  <c r="AB15" i="12"/>
  <c r="D15" i="12"/>
  <c r="V15" i="12"/>
  <c r="Y15" i="12"/>
  <c r="W15" i="12"/>
  <c r="T15" i="12"/>
  <c r="S15" i="12"/>
  <c r="Q15" i="12"/>
  <c r="P15" i="12"/>
  <c r="W15" i="13"/>
  <c r="H6" i="14"/>
  <c r="Y14" i="14"/>
  <c r="AB14" i="14"/>
  <c r="S14" i="14"/>
  <c r="U3" i="15"/>
  <c r="Z2" i="17"/>
  <c r="W2" i="17"/>
  <c r="I2" i="17"/>
  <c r="G2" i="17"/>
  <c r="F2" i="17"/>
  <c r="W3" i="18"/>
  <c r="D14" i="5"/>
  <c r="Y14" i="5"/>
  <c r="K7" i="8"/>
  <c r="I7" i="9"/>
  <c r="X15" i="6"/>
  <c r="T15" i="6"/>
  <c r="L15" i="6"/>
  <c r="H15" i="6"/>
  <c r="G15" i="6"/>
  <c r="AA14" i="5"/>
  <c r="N3" i="7"/>
  <c r="H6" i="7"/>
  <c r="Z13" i="7"/>
  <c r="S13" i="7"/>
  <c r="T13" i="7"/>
  <c r="N13" i="7"/>
  <c r="M13" i="7"/>
  <c r="K17" i="7"/>
  <c r="P7" i="8"/>
  <c r="S3" i="9"/>
  <c r="N7" i="9"/>
  <c r="M2" i="10"/>
  <c r="N15" i="10"/>
  <c r="C3" i="11"/>
  <c r="Q6" i="11"/>
  <c r="F7" i="12"/>
  <c r="C15" i="12"/>
  <c r="T17" i="12"/>
  <c r="S2" i="13"/>
  <c r="Z2" i="13"/>
  <c r="O2" i="13"/>
  <c r="I2" i="13"/>
  <c r="P2" i="13"/>
  <c r="N2" i="13"/>
  <c r="M2" i="13"/>
  <c r="L2" i="13"/>
  <c r="H2" i="13"/>
  <c r="G2" i="13"/>
  <c r="Y15" i="13"/>
  <c r="L6" i="14"/>
  <c r="R14" i="14"/>
  <c r="W3" i="15"/>
  <c r="J2" i="17"/>
  <c r="V14" i="5"/>
  <c r="E6" i="6"/>
  <c r="Z14" i="5"/>
  <c r="I6" i="6"/>
  <c r="D12" i="6"/>
  <c r="M3" i="7"/>
  <c r="O3" i="9"/>
  <c r="AB14" i="5"/>
  <c r="D15" i="6"/>
  <c r="O15" i="10"/>
  <c r="D3" i="11"/>
  <c r="AB8" i="11"/>
  <c r="T8" i="11"/>
  <c r="S8" i="11"/>
  <c r="R8" i="11"/>
  <c r="G7" i="12"/>
  <c r="E15" i="12"/>
  <c r="C2" i="13"/>
  <c r="Z15" i="13"/>
  <c r="M6" i="14"/>
  <c r="AA3" i="15"/>
  <c r="Z17" i="17"/>
  <c r="Y17" i="17"/>
  <c r="X17" i="17"/>
  <c r="W17" i="17"/>
  <c r="U17" i="17"/>
  <c r="O17" i="17"/>
  <c r="M17" i="17"/>
  <c r="L17" i="17"/>
  <c r="AB17" i="17"/>
  <c r="AA17" i="17"/>
  <c r="R17" i="17"/>
  <c r="F3" i="7"/>
  <c r="C17" i="7"/>
  <c r="G7" i="8"/>
  <c r="G3" i="7"/>
  <c r="N2" i="11"/>
  <c r="AA6" i="7"/>
  <c r="N6" i="7"/>
  <c r="F6" i="7"/>
  <c r="J17" i="7"/>
  <c r="O7" i="8"/>
  <c r="K2" i="10"/>
  <c r="M15" i="10"/>
  <c r="J6" i="6"/>
  <c r="J12" i="6"/>
  <c r="C15" i="6"/>
  <c r="K6" i="6"/>
  <c r="K12" i="6"/>
  <c r="P3" i="7"/>
  <c r="E13" i="7"/>
  <c r="M17" i="7"/>
  <c r="Q7" i="8"/>
  <c r="Z3" i="9"/>
  <c r="P7" i="9"/>
  <c r="N2" i="10"/>
  <c r="R6" i="11"/>
  <c r="L12" i="6"/>
  <c r="U14" i="6"/>
  <c r="X14" i="6"/>
  <c r="M14" i="6"/>
  <c r="I14" i="6"/>
  <c r="H14" i="6"/>
  <c r="E15" i="6"/>
  <c r="S3" i="7"/>
  <c r="K6" i="7"/>
  <c r="F13" i="7"/>
  <c r="Q17" i="7"/>
  <c r="AA3" i="9"/>
  <c r="Q7" i="9"/>
  <c r="P2" i="10"/>
  <c r="P15" i="10"/>
  <c r="I3" i="11"/>
  <c r="T6" i="11"/>
  <c r="C8" i="11"/>
  <c r="I7" i="12"/>
  <c r="F15" i="12"/>
  <c r="D2" i="13"/>
  <c r="AA15" i="13"/>
  <c r="Q2" i="14"/>
  <c r="Z2" i="14"/>
  <c r="Y2" i="14"/>
  <c r="R2" i="14"/>
  <c r="AB2" i="14"/>
  <c r="AA2" i="14"/>
  <c r="N6" i="14"/>
  <c r="E17" i="17"/>
  <c r="M6" i="17"/>
  <c r="L6" i="17"/>
  <c r="G6" i="17"/>
  <c r="V14" i="10"/>
  <c r="Z7" i="16"/>
  <c r="U7" i="16"/>
  <c r="P7" i="16"/>
  <c r="L7" i="16"/>
  <c r="J7" i="16"/>
  <c r="I7" i="16"/>
  <c r="F7" i="16"/>
  <c r="E7" i="16"/>
  <c r="D7" i="16"/>
  <c r="C6" i="17"/>
  <c r="T15" i="5"/>
  <c r="C8" i="10"/>
  <c r="C7" i="16"/>
  <c r="E6" i="17"/>
  <c r="Y7" i="13"/>
  <c r="H7" i="13"/>
  <c r="X7" i="13"/>
  <c r="G3" i="14"/>
  <c r="Y3" i="14"/>
  <c r="X3" i="14"/>
  <c r="T3" i="14"/>
  <c r="C8" i="15"/>
  <c r="X8" i="15"/>
  <c r="W8" i="15"/>
  <c r="T8" i="15"/>
  <c r="N8" i="15"/>
  <c r="M8" i="15"/>
  <c r="L8" i="15"/>
  <c r="J17" i="16"/>
  <c r="C17" i="16"/>
  <c r="AB17" i="16"/>
  <c r="Z17" i="16"/>
  <c r="Y17" i="16"/>
  <c r="Q6" i="17"/>
  <c r="I8" i="10"/>
  <c r="X14" i="10"/>
  <c r="I14" i="10"/>
  <c r="Z14" i="10"/>
  <c r="C7" i="13"/>
  <c r="C3" i="14"/>
  <c r="D8" i="15"/>
  <c r="H7" i="16"/>
  <c r="D17" i="16"/>
  <c r="V7" i="17"/>
  <c r="R7" i="17"/>
  <c r="O7" i="17"/>
  <c r="K7" i="17"/>
  <c r="J7" i="17"/>
  <c r="F7" i="17"/>
  <c r="E7" i="17"/>
  <c r="D7" i="17"/>
  <c r="Z7" i="17"/>
  <c r="D7" i="13"/>
  <c r="D3" i="14"/>
  <c r="X2" i="15"/>
  <c r="G2" i="15"/>
  <c r="Y2" i="15"/>
  <c r="V2" i="15"/>
  <c r="U2" i="15"/>
  <c r="Q2" i="15"/>
  <c r="P2" i="15"/>
  <c r="O2" i="15"/>
  <c r="E8" i="15"/>
  <c r="M7" i="16"/>
  <c r="G17" i="16"/>
  <c r="G7" i="17"/>
  <c r="Y15" i="5"/>
  <c r="Y2" i="7"/>
  <c r="M2" i="7"/>
  <c r="P6" i="8"/>
  <c r="D12" i="9"/>
  <c r="N8" i="10"/>
  <c r="D14" i="10"/>
  <c r="AB14" i="10"/>
  <c r="C12" i="11"/>
  <c r="E7" i="13"/>
  <c r="E3" i="14"/>
  <c r="Z7" i="14"/>
  <c r="V7" i="14"/>
  <c r="K7" i="14"/>
  <c r="J7" i="14"/>
  <c r="E7" i="14"/>
  <c r="C2" i="15"/>
  <c r="X7" i="15"/>
  <c r="G7" i="15"/>
  <c r="V7" i="15"/>
  <c r="U7" i="15"/>
  <c r="T7" i="15"/>
  <c r="Q7" i="15"/>
  <c r="P7" i="15"/>
  <c r="O7" i="15"/>
  <c r="F8" i="15"/>
  <c r="O7" i="16"/>
  <c r="AB12" i="16"/>
  <c r="K12" i="16"/>
  <c r="H17" i="16"/>
  <c r="H7" i="17"/>
  <c r="F7" i="13"/>
  <c r="W13" i="13"/>
  <c r="Z13" i="13"/>
  <c r="Q13" i="13"/>
  <c r="P13" i="13"/>
  <c r="K13" i="13"/>
  <c r="F3" i="14"/>
  <c r="G8" i="15"/>
  <c r="R7" i="16"/>
  <c r="R17" i="16"/>
  <c r="P7" i="17"/>
  <c r="W2" i="18"/>
  <c r="X2" i="18"/>
  <c r="V2" i="18"/>
  <c r="U2" i="18"/>
  <c r="S2" i="18"/>
  <c r="R2" i="18"/>
  <c r="N2" i="18"/>
  <c r="M2" i="18"/>
  <c r="L2" i="18"/>
  <c r="G2" i="18"/>
  <c r="F2" i="18"/>
  <c r="D2" i="18"/>
  <c r="Y15" i="14"/>
  <c r="S12" i="15"/>
  <c r="AB8" i="18"/>
  <c r="Y12" i="18"/>
  <c r="H2" i="19"/>
  <c r="K3" i="19"/>
  <c r="N6" i="19"/>
  <c r="M8" i="19"/>
  <c r="C12" i="19"/>
  <c r="K13" i="19"/>
  <c r="T14" i="19"/>
  <c r="C15" i="14"/>
  <c r="Z15" i="14"/>
  <c r="Q12" i="17"/>
  <c r="C8" i="18"/>
  <c r="Z12" i="18"/>
  <c r="M2" i="19"/>
  <c r="M3" i="19"/>
  <c r="O6" i="19"/>
  <c r="N8" i="19"/>
  <c r="E12" i="19"/>
  <c r="L13" i="19"/>
  <c r="U14" i="19"/>
  <c r="D8" i="18"/>
  <c r="N2" i="19"/>
  <c r="N3" i="19"/>
  <c r="R6" i="19"/>
  <c r="O8" i="19"/>
  <c r="F12" i="19"/>
  <c r="M13" i="19"/>
  <c r="V14" i="19"/>
  <c r="G15" i="14"/>
  <c r="Z12" i="15"/>
  <c r="Z13" i="15"/>
  <c r="J14" i="16"/>
  <c r="H8" i="17"/>
  <c r="U12" i="17"/>
  <c r="H15" i="17"/>
  <c r="G8" i="18"/>
  <c r="R2" i="19"/>
  <c r="R3" i="19"/>
  <c r="R8" i="19"/>
  <c r="I12" i="19"/>
  <c r="Q13" i="19"/>
  <c r="D8" i="13"/>
  <c r="H15" i="14"/>
  <c r="AA12" i="15"/>
  <c r="AA13" i="15"/>
  <c r="Y14" i="16"/>
  <c r="J8" i="17"/>
  <c r="V12" i="17"/>
  <c r="I15" i="17"/>
  <c r="J8" i="18"/>
  <c r="S2" i="19"/>
  <c r="S3" i="19"/>
  <c r="S8" i="19"/>
  <c r="J12" i="19"/>
  <c r="T13" i="19"/>
  <c r="I15" i="14"/>
  <c r="AB13" i="15"/>
  <c r="N8" i="17"/>
  <c r="W12" i="17"/>
  <c r="N15" i="17"/>
  <c r="K8" i="18"/>
  <c r="U2" i="19"/>
  <c r="T3" i="19"/>
  <c r="T8" i="19"/>
  <c r="L12" i="19"/>
  <c r="V13" i="19"/>
  <c r="V2" i="19"/>
  <c r="U3" i="19"/>
  <c r="V8" i="19"/>
  <c r="P12" i="19"/>
  <c r="W13" i="19"/>
  <c r="Q8" i="17"/>
  <c r="AB12" i="17"/>
  <c r="O8" i="18"/>
  <c r="L14" i="18"/>
  <c r="X2" i="19"/>
  <c r="W3" i="19"/>
  <c r="Y8" i="19"/>
  <c r="R12" i="19"/>
  <c r="Z13" i="19"/>
  <c r="C17" i="19"/>
  <c r="P8" i="18"/>
  <c r="Q14" i="18"/>
  <c r="Z2" i="19"/>
  <c r="Y3" i="19"/>
  <c r="Z8" i="19"/>
  <c r="T12" i="19"/>
  <c r="AA13" i="19"/>
  <c r="E17" i="19"/>
  <c r="R14" i="18"/>
  <c r="AB2" i="19"/>
  <c r="Z3" i="19"/>
  <c r="U12" i="19"/>
  <c r="F17" i="19"/>
  <c r="U14" i="18"/>
  <c r="AA3" i="19"/>
  <c r="AB8" i="19"/>
  <c r="V12" i="19"/>
  <c r="F14" i="19"/>
  <c r="G17" i="19"/>
  <c r="R8" i="13"/>
  <c r="P15" i="14"/>
  <c r="K12" i="15"/>
  <c r="U8" i="17"/>
  <c r="E12" i="17"/>
  <c r="N13" i="17"/>
  <c r="S8" i="18"/>
  <c r="V14" i="18"/>
  <c r="C3" i="19"/>
  <c r="AB3" i="19"/>
  <c r="C8" i="19"/>
  <c r="Y12" i="19"/>
  <c r="G14" i="19"/>
  <c r="M17" i="19"/>
  <c r="T8" i="18"/>
  <c r="X14" i="18"/>
  <c r="D3" i="19"/>
  <c r="D8" i="19"/>
  <c r="AA12" i="19"/>
  <c r="H14" i="19"/>
  <c r="O17" i="19"/>
  <c r="E8" i="19"/>
  <c r="AB12" i="19"/>
  <c r="J14" i="19"/>
  <c r="Q17" i="19"/>
  <c r="K14" i="19"/>
  <c r="R17" i="19"/>
  <c r="AA8" i="17"/>
  <c r="I12" i="17"/>
  <c r="G3" i="19"/>
  <c r="E6" i="19"/>
  <c r="G8" i="19"/>
  <c r="C13" i="19"/>
  <c r="L14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<sst xmlns="http://schemas.openxmlformats.org/spreadsheetml/2006/main" count="3113" uniqueCount="587">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</sst>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184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WY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8.2692991997683225E-4</v>
      </c>
      <c r="C2" s="7">
        <f>$B2 * IFERROR(VLOOKUP("transport|PM25|Premature mortality", US_national_yearly!$D:$AM, 11, FALSE) / VLOOKUP("transport|PM25|Premature mortality", US_national_yearly!$D:$AM, 10, FALSE), 1)</f>
        <v>8.371820387790916E-4</v>
      </c>
      <c r="D2" s="7">
        <f>$B2 * IFERROR(VLOOKUP("transport|PM25|Premature mortality", US_national_yearly!$D:$AM, 12, FALSE) / VLOOKUP("transport|PM25|Premature mortality", US_national_yearly!$D:$AM, 10, FALSE), 1)</f>
        <v>8.4743415758135074E-4</v>
      </c>
      <c r="E2" s="7">
        <f>$B2 * IFERROR(VLOOKUP("transport|PM25|Premature mortality", US_national_yearly!$D:$AM, 13, FALSE) / VLOOKUP("transport|PM25|Premature mortality", US_national_yearly!$D:$AM, 10, FALSE), 1)</f>
        <v>8.5768627638360998E-4</v>
      </c>
      <c r="F2" s="7">
        <f>$B2 * IFERROR(VLOOKUP("transport|PM25|Premature mortality", US_national_yearly!$D:$AM, 14, FALSE) / VLOOKUP("transport|PM25|Premature mortality", US_national_yearly!$D:$AM, 10, FALSE), 1)</f>
        <v>8.6793839518586912E-4</v>
      </c>
      <c r="G2" s="7">
        <f>$B2 * IFERROR(VLOOKUP("transport|PM25|Premature mortality", US_national_yearly!$D:$AM, 15, FALSE) / VLOOKUP("transport|PM25|Premature mortality", US_national_yearly!$D:$AM, 10, FALSE), 1)</f>
        <v>8.8790431923361926E-4</v>
      </c>
      <c r="H2" s="7">
        <f>$B2 * IFERROR(VLOOKUP("transport|PM25|Premature mortality", US_national_yearly!$D:$AM, 16, FALSE) / VLOOKUP("transport|PM25|Premature mortality", US_national_yearly!$D:$AM, 10, FALSE), 1)</f>
        <v>9.0787024328136941E-4</v>
      </c>
      <c r="I2" s="7">
        <f>$B2 * IFERROR(VLOOKUP("transport|PM25|Premature mortality", US_national_yearly!$D:$AM, 17, FALSE) / VLOOKUP("transport|PM25|Premature mortality", US_national_yearly!$D:$AM, 10, FALSE), 1)</f>
        <v>9.2098470266420852E-4</v>
      </c>
      <c r="J2" s="7">
        <f>$B2 * IFERROR(VLOOKUP("transport|PM25|Premature mortality", US_national_yearly!$D:$AM, 18, FALSE) / VLOOKUP("transport|PM25|Premature mortality", US_national_yearly!$D:$AM, 10, FALSE), 1)</f>
        <v>9.3409916204704796E-4</v>
      </c>
      <c r="K2" s="7">
        <f>$B2 * IFERROR(VLOOKUP("transport|PM25|Premature mortality", US_national_yearly!$D:$AM, 19, FALSE) / VLOOKUP("transport|PM25|Premature mortality", US_national_yearly!$D:$AM, 10, FALSE), 1)</f>
        <v>9.4721362142988728E-4</v>
      </c>
      <c r="L2" s="7">
        <f>$B2 * IFERROR(VLOOKUP("transport|PM25|Premature mortality", US_national_yearly!$D:$AM, 20, FALSE) / VLOOKUP("transport|PM25|Premature mortality", US_national_yearly!$D:$AM, 10, FALSE), 1)</f>
        <v>9.6032808081272672E-4</v>
      </c>
      <c r="M2" s="7">
        <f>$B2 * IFERROR(VLOOKUP("transport|PM25|Premature mortality", US_national_yearly!$D:$AM, 21, FALSE) / VLOOKUP("transport|PM25|Premature mortality", US_national_yearly!$D:$AM, 10, FALSE), 1)</f>
        <v>9.7344254019556594E-4</v>
      </c>
      <c r="N2" s="7">
        <f>$B2 * IFERROR(VLOOKUP("transport|PM25|Premature mortality", US_national_yearly!$D:$AM, 22, FALSE) / VLOOKUP("transport|PM25|Premature mortality", US_national_yearly!$D:$AM, 10, FALSE), 1)</f>
        <v>9.8362508324917092E-4</v>
      </c>
      <c r="O2" s="7">
        <f>$B2 * IFERROR(VLOOKUP("transport|PM25|Premature mortality", US_national_yearly!$D:$AM, 23, FALSE) / VLOOKUP("transport|PM25|Premature mortality", US_national_yearly!$D:$AM, 10, FALSE), 1)</f>
        <v>9.938076263027759E-4</v>
      </c>
      <c r="P2" s="7">
        <f>$B2 * IFERROR(VLOOKUP("transport|PM25|Premature mortality", US_national_yearly!$D:$AM, 24, FALSE) / VLOOKUP("transport|PM25|Premature mortality", US_national_yearly!$D:$AM, 10, FALSE), 1)</f>
        <v>1.0039901693563807E-3</v>
      </c>
      <c r="Q2" s="7">
        <f>$B2 * IFERROR(VLOOKUP("transport|PM25|Premature mortality", US_national_yearly!$D:$AM, 25, FALSE) / VLOOKUP("transport|PM25|Premature mortality", US_national_yearly!$D:$AM, 10, FALSE), 1)</f>
        <v>1.0141727124099856E-3</v>
      </c>
      <c r="R2" s="7">
        <f>$B2 * IFERROR(VLOOKUP("transport|PM25|Premature mortality", US_national_yearly!$D:$AM, 26, FALSE) / VLOOKUP("transport|PM25|Premature mortality", US_national_yearly!$D:$AM, 10, FALSE), 1)</f>
        <v>1.0243552554635908E-3</v>
      </c>
      <c r="S2" s="7">
        <f>$B2 * IFERROR(VLOOKUP("transport|PM25|Premature mortality", US_national_yearly!$D:$AM, 27, FALSE) / VLOOKUP("transport|PM25|Premature mortality", US_national_yearly!$D:$AM, 10, FALSE), 1)</f>
        <v>1.0297496642399529E-3</v>
      </c>
      <c r="T2" s="7">
        <f>$B2 * IFERROR(VLOOKUP("transport|PM25|Premature mortality", US_national_yearly!$D:$AM, 28, FALSE) / VLOOKUP("transport|PM25|Premature mortality", US_national_yearly!$D:$AM, 10, FALSE), 1)</f>
        <v>1.0351440730163148E-3</v>
      </c>
      <c r="U2" s="7">
        <f>$B2 * IFERROR(VLOOKUP("transport|PM25|Premature mortality", US_national_yearly!$D:$AM, 29, FALSE) / VLOOKUP("transport|PM25|Premature mortality", US_national_yearly!$D:$AM, 10, FALSE), 1)</f>
        <v>1.0405384817926769E-3</v>
      </c>
      <c r="V2" s="7">
        <f>$B2 * IFERROR(VLOOKUP("transport|PM25|Premature mortality", US_national_yearly!$D:$AM, 30, FALSE) / VLOOKUP("transport|PM25|Premature mortality", US_national_yearly!$D:$AM, 10, FALSE), 1)</f>
        <v>1.0459328905690387E-3</v>
      </c>
      <c r="W2" s="7">
        <f>$B2 * IFERROR(VLOOKUP("transport|PM25|Premature mortality", US_national_yearly!$D:$AM, 31, FALSE) / VLOOKUP("transport|PM25|Premature mortality", US_national_yearly!$D:$AM, 10, FALSE), 1)</f>
        <v>1.0513272993454008E-3</v>
      </c>
      <c r="X2" s="7">
        <f>$B2 * IFERROR(VLOOKUP("transport|PM25|Premature mortality", US_national_yearly!$D:$AM, 32, FALSE) / VLOOKUP("transport|PM25|Premature mortality", US_national_yearly!$D:$AM, 10, FALSE), 1)</f>
        <v>1.0522705534485902E-3</v>
      </c>
      <c r="Y2" s="7">
        <f>$B2 * IFERROR(VLOOKUP("transport|PM25|Premature mortality", US_national_yearly!$D:$AM, 33, FALSE) / VLOOKUP("transport|PM25|Premature mortality", US_national_yearly!$D:$AM, 10, FALSE), 1)</f>
        <v>1.0532138075517799E-3</v>
      </c>
      <c r="Z2" s="7">
        <f>$B2 * IFERROR(VLOOKUP("transport|PM25|Premature mortality", US_national_yearly!$D:$AM, 34, FALSE) / VLOOKUP("transport|PM25|Premature mortality", US_national_yearly!$D:$AM, 10, FALSE), 1)</f>
        <v>1.0541570616549696E-3</v>
      </c>
      <c r="AA2" s="7">
        <f>$B2 * IFERROR(VLOOKUP("transport|PM25|Premature mortality", US_national_yearly!$D:$AM, 35, FALSE) / VLOOKUP("transport|PM25|Premature mortality", US_national_yearly!$D:$AM, 10, FALSE), 1)</f>
        <v>1.0551003157581592E-3</v>
      </c>
      <c r="AB2" s="7">
        <f>$B2 * IFERROR(VLOOKUP("transport|PM25|Premature mortality", US_national_yearly!$D:$AM, 36, FALSE) / VLOOKUP("transport|PM25|Premature mortality", US_national_yearly!$D:$AM, 10, FALSE), 1)</f>
        <v>1.0560435698613486E-3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1.8180128872763653E-6</v>
      </c>
      <c r="C3" s="7">
        <f>$B3 * IFERROR(VLOOKUP("transport|PM25|Infant mortality", US_national_yearly!$D:$AM, 11, FALSE) / VLOOKUP("transport|PM25|Infant mortality", US_national_yearly!$D:$AM, 10, FALSE), 1)</f>
        <v>1.8021614738478997E-6</v>
      </c>
      <c r="D3" s="7">
        <f>$B3 * IFERROR(VLOOKUP("transport|PM25|Infant mortality", US_national_yearly!$D:$AM, 12, FALSE) / VLOOKUP("transport|PM25|Infant mortality", US_national_yearly!$D:$AM, 10, FALSE), 1)</f>
        <v>1.786310060419434E-6</v>
      </c>
      <c r="E3" s="7">
        <f>$B3 * IFERROR(VLOOKUP("transport|PM25|Infant mortality", US_national_yearly!$D:$AM, 13, FALSE) / VLOOKUP("transport|PM25|Infant mortality", US_national_yearly!$D:$AM, 10, FALSE), 1)</f>
        <v>1.7704586469909684E-6</v>
      </c>
      <c r="F3" s="7">
        <f>$B3 * IFERROR(VLOOKUP("transport|PM25|Infant mortality", US_national_yearly!$D:$AM, 14, FALSE) / VLOOKUP("transport|PM25|Infant mortality", US_national_yearly!$D:$AM, 10, FALSE), 1)</f>
        <v>1.7546072335625025E-6</v>
      </c>
      <c r="G3" s="7">
        <f>$B3 * IFERROR(VLOOKUP("transport|PM25|Infant mortality", US_national_yearly!$D:$AM, 15, FALSE) / VLOOKUP("transport|PM25|Infant mortality", US_national_yearly!$D:$AM, 10, FALSE), 1)</f>
        <v>1.1669076676921464E-6</v>
      </c>
      <c r="H3" s="7">
        <f>$B3 * IFERROR(VLOOKUP("transport|PM25|Infant mortality", US_national_yearly!$D:$AM, 16, FALSE) / VLOOKUP("transport|PM25|Infant mortality", US_national_yearly!$D:$AM, 10, FALSE), 1)</f>
        <v>5.7920810182179005E-7</v>
      </c>
      <c r="I3" s="7">
        <f>$B3 * IFERROR(VLOOKUP("transport|PM25|Infant mortality", US_national_yearly!$D:$AM, 17, FALSE) / VLOOKUP("transport|PM25|Infant mortality", US_national_yearly!$D:$AM, 10, FALSE), 1)</f>
        <v>5.7542202010992494E-7</v>
      </c>
      <c r="J3" s="7">
        <f>$B3 * IFERROR(VLOOKUP("transport|PM25|Infant mortality", US_national_yearly!$D:$AM, 18, FALSE) / VLOOKUP("transport|PM25|Infant mortality", US_national_yearly!$D:$AM, 10, FALSE), 1)</f>
        <v>5.7163593839805973E-7</v>
      </c>
      <c r="K3" s="7">
        <f>$B3 * IFERROR(VLOOKUP("transport|PM25|Infant mortality", US_national_yearly!$D:$AM, 19, FALSE) / VLOOKUP("transport|PM25|Infant mortality", US_national_yearly!$D:$AM, 10, FALSE), 1)</f>
        <v>5.6784985668619452E-7</v>
      </c>
      <c r="L3" s="7">
        <f>$B3 * IFERROR(VLOOKUP("transport|PM25|Infant mortality", US_national_yearly!$D:$AM, 20, FALSE) / VLOOKUP("transport|PM25|Infant mortality", US_national_yearly!$D:$AM, 10, FALSE), 1)</f>
        <v>5.6406377497432941E-7</v>
      </c>
      <c r="M3" s="7">
        <f>$B3 * IFERROR(VLOOKUP("transport|PM25|Infant mortality", US_national_yearly!$D:$AM, 21, FALSE) / VLOOKUP("transport|PM25|Infant mortality", US_national_yearly!$D:$AM, 10, FALSE), 1)</f>
        <v>5.6027769326246431E-7</v>
      </c>
      <c r="N3" s="7">
        <f>$B3 * IFERROR(VLOOKUP("transport|PM25|Infant mortality", US_national_yearly!$D:$AM, 22, FALSE) / VLOOKUP("transport|PM25|Infant mortality", US_national_yearly!$D:$AM, 10, FALSE), 1)</f>
        <v>5.5789961478723048E-7</v>
      </c>
      <c r="O3" s="7">
        <f>$B3 * IFERROR(VLOOKUP("transport|PM25|Infant mortality", US_national_yearly!$D:$AM, 23, FALSE) / VLOOKUP("transport|PM25|Infant mortality", US_national_yearly!$D:$AM, 10, FALSE), 1)</f>
        <v>5.5552153631199665E-7</v>
      </c>
      <c r="P3" s="7">
        <f>$B3 * IFERROR(VLOOKUP("transport|PM25|Infant mortality", US_national_yearly!$D:$AM, 24, FALSE) / VLOOKUP("transport|PM25|Infant mortality", US_national_yearly!$D:$AM, 10, FALSE), 1)</f>
        <v>5.5314345783676271E-7</v>
      </c>
      <c r="Q3" s="7">
        <f>$B3 * IFERROR(VLOOKUP("transport|PM25|Infant mortality", US_national_yearly!$D:$AM, 25, FALSE) / VLOOKUP("transport|PM25|Infant mortality", US_national_yearly!$D:$AM, 10, FALSE), 1)</f>
        <v>5.5076537936152888E-7</v>
      </c>
      <c r="R3" s="7">
        <f>$B3 * IFERROR(VLOOKUP("transport|PM25|Infant mortality", US_national_yearly!$D:$AM, 26, FALSE) / VLOOKUP("transport|PM25|Infant mortality", US_national_yearly!$D:$AM, 10, FALSE), 1)</f>
        <v>5.4838730088629494E-7</v>
      </c>
      <c r="S3" s="7">
        <f>$B3 * IFERROR(VLOOKUP("transport|PM25|Infant mortality", US_national_yearly!$D:$AM, 27, FALSE) / VLOOKUP("transport|PM25|Infant mortality", US_national_yearly!$D:$AM, 10, FALSE), 1)</f>
        <v>5.454229774432999E-7</v>
      </c>
      <c r="T3" s="7">
        <f>$B3 * IFERROR(VLOOKUP("transport|PM25|Infant mortality", US_national_yearly!$D:$AM, 28, FALSE) / VLOOKUP("transport|PM25|Infant mortality", US_national_yearly!$D:$AM, 10, FALSE), 1)</f>
        <v>5.4245865400030466E-7</v>
      </c>
      <c r="U3" s="7">
        <f>$B3 * IFERROR(VLOOKUP("transport|PM25|Infant mortality", US_national_yearly!$D:$AM, 29, FALSE) / VLOOKUP("transport|PM25|Infant mortality", US_national_yearly!$D:$AM, 10, FALSE), 1)</f>
        <v>5.3949433055730952E-7</v>
      </c>
      <c r="V3" s="7">
        <f>$B3 * IFERROR(VLOOKUP("transport|PM25|Infant mortality", US_national_yearly!$D:$AM, 30, FALSE) / VLOOKUP("transport|PM25|Infant mortality", US_national_yearly!$D:$AM, 10, FALSE), 1)</f>
        <v>5.3653000711431438E-7</v>
      </c>
      <c r="W3" s="7">
        <f>$B3 * IFERROR(VLOOKUP("transport|PM25|Infant mortality", US_national_yearly!$D:$AM, 31, FALSE) / VLOOKUP("transport|PM25|Infant mortality", US_national_yearly!$D:$AM, 10, FALSE), 1)</f>
        <v>5.3356568367131923E-7</v>
      </c>
      <c r="X3" s="7">
        <f>$B3 * IFERROR(VLOOKUP("transport|PM25|Infant mortality", US_national_yearly!$D:$AM, 32, FALSE) / VLOOKUP("transport|PM25|Infant mortality", US_national_yearly!$D:$AM, 10, FALSE), 1)</f>
        <v>5.3036977042340145E-7</v>
      </c>
      <c r="Y3" s="7">
        <f>$B3 * IFERROR(VLOOKUP("transport|PM25|Infant mortality", US_national_yearly!$D:$AM, 33, FALSE) / VLOOKUP("transport|PM25|Infant mortality", US_national_yearly!$D:$AM, 10, FALSE), 1)</f>
        <v>5.2717385717548346E-7</v>
      </c>
      <c r="Z3" s="7">
        <f>$B3 * IFERROR(VLOOKUP("transport|PM25|Infant mortality", US_national_yearly!$D:$AM, 34, FALSE) / VLOOKUP("transport|PM25|Infant mortality", US_national_yearly!$D:$AM, 10, FALSE), 1)</f>
        <v>5.2397794392756568E-7</v>
      </c>
      <c r="AA3" s="7">
        <f>$B3 * IFERROR(VLOOKUP("transport|PM25|Infant mortality", US_national_yearly!$D:$AM, 35, FALSE) / VLOOKUP("transport|PM25|Infant mortality", US_national_yearly!$D:$AM, 10, FALSE), 1)</f>
        <v>5.2078203067964779E-7</v>
      </c>
      <c r="AB3" s="7">
        <f>$B3 * IFERROR(VLOOKUP("transport|PM25|Infant mortality", US_national_yearly!$D:$AM, 36, FALSE) / VLOOKUP("transport|PM25|Infant mortality", US_national_yearly!$D:$AM, 10, FALSE), 1)</f>
        <v>5.1758611743173001E-7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2.1604214234452828E-3</v>
      </c>
      <c r="C6" s="7">
        <f>$B6 * IFERROR(VLOOKUP("transport|PM25|Asthma symptoms cough", US_national_yearly!$D:$AM, 11, FALSE) / VLOOKUP("transport|PM25|Asthma symptoms cough", US_national_yearly!$D:$AM, 10, FALSE), 1)</f>
        <v>2.1604214234452828E-3</v>
      </c>
      <c r="D6" s="7">
        <f>$B6 * IFERROR(VLOOKUP("transport|PM25|Asthma symptoms cough", US_national_yearly!$D:$AM, 12, FALSE) / VLOOKUP("transport|PM25|Asthma symptoms cough", US_national_yearly!$D:$AM, 10, FALSE), 1)</f>
        <v>2.1604214234452828E-3</v>
      </c>
      <c r="E6" s="7">
        <f>$B6 * IFERROR(VLOOKUP("transport|PM25|Asthma symptoms cough", US_national_yearly!$D:$AM, 13, FALSE) / VLOOKUP("transport|PM25|Asthma symptoms cough", US_national_yearly!$D:$AM, 10, FALSE), 1)</f>
        <v>2.1604214234452828E-3</v>
      </c>
      <c r="F6" s="7">
        <f>$B6 * IFERROR(VLOOKUP("transport|PM25|Asthma symptoms cough", US_national_yearly!$D:$AM, 14, FALSE) / VLOOKUP("transport|PM25|Asthma symptoms cough", US_national_yearly!$D:$AM, 10, FALSE), 1)</f>
        <v>2.1604214234452828E-3</v>
      </c>
      <c r="G6" s="7">
        <f>$B6 * IFERROR(VLOOKUP("transport|PM25|Asthma symptoms cough", US_national_yearly!$D:$AM, 15, FALSE) / VLOOKUP("transport|PM25|Asthma symptoms cough", US_national_yearly!$D:$AM, 10, FALSE), 1)</f>
        <v>2.1604214234452828E-3</v>
      </c>
      <c r="H6" s="7">
        <f>$B6 * IFERROR(VLOOKUP("transport|PM25|Asthma symptoms cough", US_national_yearly!$D:$AM, 16, FALSE) / VLOOKUP("transport|PM25|Asthma symptoms cough", US_national_yearly!$D:$AM, 10, FALSE), 1)</f>
        <v>2.1604214234452828E-3</v>
      </c>
      <c r="I6" s="7">
        <f>$B6 * IFERROR(VLOOKUP("transport|PM25|Asthma symptoms cough", US_national_yearly!$D:$AM, 17, FALSE) / VLOOKUP("transport|PM25|Asthma symptoms cough", US_national_yearly!$D:$AM, 10, FALSE), 1)</f>
        <v>2.1604214234452828E-3</v>
      </c>
      <c r="J6" s="7">
        <f>$B6 * IFERROR(VLOOKUP("transport|PM25|Asthma symptoms cough", US_national_yearly!$D:$AM, 18, FALSE) / VLOOKUP("transport|PM25|Asthma symptoms cough", US_national_yearly!$D:$AM, 10, FALSE), 1)</f>
        <v>2.1604214234452828E-3</v>
      </c>
      <c r="K6" s="7">
        <f>$B6 * IFERROR(VLOOKUP("transport|PM25|Asthma symptoms cough", US_national_yearly!$D:$AM, 19, FALSE) / VLOOKUP("transport|PM25|Asthma symptoms cough", US_national_yearly!$D:$AM, 10, FALSE), 1)</f>
        <v>2.1604214234452828E-3</v>
      </c>
      <c r="L6" s="7">
        <f>$B6 * IFERROR(VLOOKUP("transport|PM25|Asthma symptoms cough", US_national_yearly!$D:$AM, 20, FALSE) / VLOOKUP("transport|PM25|Asthma symptoms cough", US_national_yearly!$D:$AM, 10, FALSE), 1)</f>
        <v>2.1604214234452828E-3</v>
      </c>
      <c r="M6" s="7">
        <f>$B6 * IFERROR(VLOOKUP("transport|PM25|Asthma symptoms cough", US_national_yearly!$D:$AM, 21, FALSE) / VLOOKUP("transport|PM25|Asthma symptoms cough", US_national_yearly!$D:$AM, 10, FALSE), 1)</f>
        <v>2.1604214234452828E-3</v>
      </c>
      <c r="N6" s="7">
        <f>$B6 * IFERROR(VLOOKUP("transport|PM25|Asthma symptoms cough", US_national_yearly!$D:$AM, 22, FALSE) / VLOOKUP("transport|PM25|Asthma symptoms cough", US_national_yearly!$D:$AM, 10, FALSE), 1)</f>
        <v>2.1604214234452828E-3</v>
      </c>
      <c r="O6" s="7">
        <f>$B6 * IFERROR(VLOOKUP("transport|PM25|Asthma symptoms cough", US_national_yearly!$D:$AM, 23, FALSE) / VLOOKUP("transport|PM25|Asthma symptoms cough", US_national_yearly!$D:$AM, 10, FALSE), 1)</f>
        <v>2.1604214234452828E-3</v>
      </c>
      <c r="P6" s="7">
        <f>$B6 * IFERROR(VLOOKUP("transport|PM25|Asthma symptoms cough", US_national_yearly!$D:$AM, 24, FALSE) / VLOOKUP("transport|PM25|Asthma symptoms cough", US_national_yearly!$D:$AM, 10, FALSE), 1)</f>
        <v>2.1604214234452828E-3</v>
      </c>
      <c r="Q6" s="7">
        <f>$B6 * IFERROR(VLOOKUP("transport|PM25|Asthma symptoms cough", US_national_yearly!$D:$AM, 25, FALSE) / VLOOKUP("transport|PM25|Asthma symptoms cough", US_national_yearly!$D:$AM, 10, FALSE), 1)</f>
        <v>2.1604214234452828E-3</v>
      </c>
      <c r="R6" s="7">
        <f>$B6 * IFERROR(VLOOKUP("transport|PM25|Asthma symptoms cough", US_national_yearly!$D:$AM, 26, FALSE) / VLOOKUP("transport|PM25|Asthma symptoms cough", US_national_yearly!$D:$AM, 10, FALSE), 1)</f>
        <v>2.1604214234452828E-3</v>
      </c>
      <c r="S6" s="7">
        <f>$B6 * IFERROR(VLOOKUP("transport|PM25|Asthma symptoms cough", US_national_yearly!$D:$AM, 27, FALSE) / VLOOKUP("transport|PM25|Asthma symptoms cough", US_national_yearly!$D:$AM, 10, FALSE), 1)</f>
        <v>2.1604214234452828E-3</v>
      </c>
      <c r="T6" s="7">
        <f>$B6 * IFERROR(VLOOKUP("transport|PM25|Asthma symptoms cough", US_national_yearly!$D:$AM, 28, FALSE) / VLOOKUP("transport|PM25|Asthma symptoms cough", US_national_yearly!$D:$AM, 10, FALSE), 1)</f>
        <v>2.1604214234452828E-3</v>
      </c>
      <c r="U6" s="7">
        <f>$B6 * IFERROR(VLOOKUP("transport|PM25|Asthma symptoms cough", US_national_yearly!$D:$AM, 29, FALSE) / VLOOKUP("transport|PM25|Asthma symptoms cough", US_national_yearly!$D:$AM, 10, FALSE), 1)</f>
        <v>2.1604214234452828E-3</v>
      </c>
      <c r="V6" s="7">
        <f>$B6 * IFERROR(VLOOKUP("transport|PM25|Asthma symptoms cough", US_national_yearly!$D:$AM, 30, FALSE) / VLOOKUP("transport|PM25|Asthma symptoms cough", US_national_yearly!$D:$AM, 10, FALSE), 1)</f>
        <v>2.1604214234452828E-3</v>
      </c>
      <c r="W6" s="7">
        <f>$B6 * IFERROR(VLOOKUP("transport|PM25|Asthma symptoms cough", US_national_yearly!$D:$AM, 31, FALSE) / VLOOKUP("transport|PM25|Asthma symptoms cough", US_national_yearly!$D:$AM, 10, FALSE), 1)</f>
        <v>2.1604214234452828E-3</v>
      </c>
      <c r="X6" s="7">
        <f>$B6 * IFERROR(VLOOKUP("transport|PM25|Asthma symptoms cough", US_national_yearly!$D:$AM, 32, FALSE) / VLOOKUP("transport|PM25|Asthma symptoms cough", US_national_yearly!$D:$AM, 10, FALSE), 1)</f>
        <v>2.1604214234452828E-3</v>
      </c>
      <c r="Y6" s="7">
        <f>$B6 * IFERROR(VLOOKUP("transport|PM25|Asthma symptoms cough", US_national_yearly!$D:$AM, 33, FALSE) / VLOOKUP("transport|PM25|Asthma symptoms cough", US_national_yearly!$D:$AM, 10, FALSE), 1)</f>
        <v>2.1604214234452828E-3</v>
      </c>
      <c r="Z6" s="7">
        <f>$B6 * IFERROR(VLOOKUP("transport|PM25|Asthma symptoms cough", US_national_yearly!$D:$AM, 34, FALSE) / VLOOKUP("transport|PM25|Asthma symptoms cough", US_national_yearly!$D:$AM, 10, FALSE), 1)</f>
        <v>2.1604214234452828E-3</v>
      </c>
      <c r="AA6" s="7">
        <f>$B6 * IFERROR(VLOOKUP("transport|PM25|Asthma symptoms cough", US_national_yearly!$D:$AM, 35, FALSE) / VLOOKUP("transport|PM25|Asthma symptoms cough", US_national_yearly!$D:$AM, 10, FALSE), 1)</f>
        <v>2.1604214234452828E-3</v>
      </c>
      <c r="AB6" s="7">
        <f>$B6 * IFERROR(VLOOKUP("transport|PM25|Asthma symptoms cough", US_national_yearly!$D:$AM, 36, FALSE) / VLOOKUP("transport|PM25|Asthma symptoms cough", US_national_yearly!$D:$AM, 10, FALSE), 1)</f>
        <v>2.1604214234452828E-3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2.90931842921742E-3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2.90931842921742E-3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2.90931842921742E-3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2.90931842921742E-3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2.90931842921742E-3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2.90931842921742E-3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2.90931842921742E-3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2.90931842921742E-3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2.90931842921742E-3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2.90931842921742E-3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2.90931842921742E-3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2.90931842921742E-3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2.90931842921742E-3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2.90931842921742E-3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2.90931842921742E-3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2.90931842921742E-3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2.90931842921742E-3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2.90931842921742E-3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2.90931842921742E-3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2.90931842921742E-3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2.90931842921742E-3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2.90931842921742E-3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2.90931842921742E-3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2.90931842921742E-3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2.90931842921742E-3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2.90931842921742E-3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2.90931842921742E-3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4.4449544362326187E-3</v>
      </c>
      <c r="C8" s="7">
        <f>$B8 * IFERROR(VLOOKUP("transport|PM25|Asthma symptoms wheeze", US_national_yearly!$D:$AM, 11, FALSE) / VLOOKUP("transport|PM25|Asthma symptoms wheeze", US_national_yearly!$D:$AM, 10, FALSE), 1)</f>
        <v>4.4449544362326187E-3</v>
      </c>
      <c r="D8" s="7">
        <f>$B8 * IFERROR(VLOOKUP("transport|PM25|Asthma symptoms wheeze", US_national_yearly!$D:$AM, 12, FALSE) / VLOOKUP("transport|PM25|Asthma symptoms wheeze", US_national_yearly!$D:$AM, 10, FALSE), 1)</f>
        <v>4.4449544362326187E-3</v>
      </c>
      <c r="E8" s="7">
        <f>$B8 * IFERROR(VLOOKUP("transport|PM25|Asthma symptoms wheeze", US_national_yearly!$D:$AM, 13, FALSE) / VLOOKUP("transport|PM25|Asthma symptoms wheeze", US_national_yearly!$D:$AM, 10, FALSE), 1)</f>
        <v>4.4449544362326187E-3</v>
      </c>
      <c r="F8" s="7">
        <f>$B8 * IFERROR(VLOOKUP("transport|PM25|Asthma symptoms wheeze", US_national_yearly!$D:$AM, 14, FALSE) / VLOOKUP("transport|PM25|Asthma symptoms wheeze", US_national_yearly!$D:$AM, 10, FALSE), 1)</f>
        <v>4.4449544362326187E-3</v>
      </c>
      <c r="G8" s="7">
        <f>$B8 * IFERROR(VLOOKUP("transport|PM25|Asthma symptoms wheeze", US_national_yearly!$D:$AM, 15, FALSE) / VLOOKUP("transport|PM25|Asthma symptoms wheeze", US_national_yearly!$D:$AM, 10, FALSE), 1)</f>
        <v>4.4449544362326187E-3</v>
      </c>
      <c r="H8" s="7">
        <f>$B8 * IFERROR(VLOOKUP("transport|PM25|Asthma symptoms wheeze", US_national_yearly!$D:$AM, 16, FALSE) / VLOOKUP("transport|PM25|Asthma symptoms wheeze", US_national_yearly!$D:$AM, 10, FALSE), 1)</f>
        <v>4.4449544362326187E-3</v>
      </c>
      <c r="I8" s="7">
        <f>$B8 * IFERROR(VLOOKUP("transport|PM25|Asthma symptoms wheeze", US_national_yearly!$D:$AM, 17, FALSE) / VLOOKUP("transport|PM25|Asthma symptoms wheeze", US_national_yearly!$D:$AM, 10, FALSE), 1)</f>
        <v>4.4449544362326187E-3</v>
      </c>
      <c r="J8" s="7">
        <f>$B8 * IFERROR(VLOOKUP("transport|PM25|Asthma symptoms wheeze", US_national_yearly!$D:$AM, 18, FALSE) / VLOOKUP("transport|PM25|Asthma symptoms wheeze", US_national_yearly!$D:$AM, 10, FALSE), 1)</f>
        <v>4.4449544362326187E-3</v>
      </c>
      <c r="K8" s="7">
        <f>$B8 * IFERROR(VLOOKUP("transport|PM25|Asthma symptoms wheeze", US_national_yearly!$D:$AM, 19, FALSE) / VLOOKUP("transport|PM25|Asthma symptoms wheeze", US_national_yearly!$D:$AM, 10, FALSE), 1)</f>
        <v>4.4449544362326187E-3</v>
      </c>
      <c r="L8" s="7">
        <f>$B8 * IFERROR(VLOOKUP("transport|PM25|Asthma symptoms wheeze", US_national_yearly!$D:$AM, 20, FALSE) / VLOOKUP("transport|PM25|Asthma symptoms wheeze", US_national_yearly!$D:$AM, 10, FALSE), 1)</f>
        <v>4.4449544362326187E-3</v>
      </c>
      <c r="M8" s="7">
        <f>$B8 * IFERROR(VLOOKUP("transport|PM25|Asthma symptoms wheeze", US_national_yearly!$D:$AM, 21, FALSE) / VLOOKUP("transport|PM25|Asthma symptoms wheeze", US_national_yearly!$D:$AM, 10, FALSE), 1)</f>
        <v>4.4449544362326187E-3</v>
      </c>
      <c r="N8" s="7">
        <f>$B8 * IFERROR(VLOOKUP("transport|PM25|Asthma symptoms wheeze", US_national_yearly!$D:$AM, 22, FALSE) / VLOOKUP("transport|PM25|Asthma symptoms wheeze", US_national_yearly!$D:$AM, 10, FALSE), 1)</f>
        <v>4.4449544362326187E-3</v>
      </c>
      <c r="O8" s="7">
        <f>$B8 * IFERROR(VLOOKUP("transport|PM25|Asthma symptoms wheeze", US_national_yearly!$D:$AM, 23, FALSE) / VLOOKUP("transport|PM25|Asthma symptoms wheeze", US_national_yearly!$D:$AM, 10, FALSE), 1)</f>
        <v>4.4449544362326187E-3</v>
      </c>
      <c r="P8" s="7">
        <f>$B8 * IFERROR(VLOOKUP("transport|PM25|Asthma symptoms wheeze", US_national_yearly!$D:$AM, 24, FALSE) / VLOOKUP("transport|PM25|Asthma symptoms wheeze", US_national_yearly!$D:$AM, 10, FALSE), 1)</f>
        <v>4.4449544362326187E-3</v>
      </c>
      <c r="Q8" s="7">
        <f>$B8 * IFERROR(VLOOKUP("transport|PM25|Asthma symptoms wheeze", US_national_yearly!$D:$AM, 25, FALSE) / VLOOKUP("transport|PM25|Asthma symptoms wheeze", US_national_yearly!$D:$AM, 10, FALSE), 1)</f>
        <v>4.4449544362326187E-3</v>
      </c>
      <c r="R8" s="7">
        <f>$B8 * IFERROR(VLOOKUP("transport|PM25|Asthma symptoms wheeze", US_national_yearly!$D:$AM, 26, FALSE) / VLOOKUP("transport|PM25|Asthma symptoms wheeze", US_national_yearly!$D:$AM, 10, FALSE), 1)</f>
        <v>4.4449544362326187E-3</v>
      </c>
      <c r="S8" s="7">
        <f>$B8 * IFERROR(VLOOKUP("transport|PM25|Asthma symptoms wheeze", US_national_yearly!$D:$AM, 27, FALSE) / VLOOKUP("transport|PM25|Asthma symptoms wheeze", US_national_yearly!$D:$AM, 10, FALSE), 1)</f>
        <v>4.4449544362326187E-3</v>
      </c>
      <c r="T8" s="7">
        <f>$B8 * IFERROR(VLOOKUP("transport|PM25|Asthma symptoms wheeze", US_national_yearly!$D:$AM, 28, FALSE) / VLOOKUP("transport|PM25|Asthma symptoms wheeze", US_national_yearly!$D:$AM, 10, FALSE), 1)</f>
        <v>4.4449544362326187E-3</v>
      </c>
      <c r="U8" s="7">
        <f>$B8 * IFERROR(VLOOKUP("transport|PM25|Asthma symptoms wheeze", US_national_yearly!$D:$AM, 29, FALSE) / VLOOKUP("transport|PM25|Asthma symptoms wheeze", US_national_yearly!$D:$AM, 10, FALSE), 1)</f>
        <v>4.4449544362326187E-3</v>
      </c>
      <c r="V8" s="7">
        <f>$B8 * IFERROR(VLOOKUP("transport|PM25|Asthma symptoms wheeze", US_national_yearly!$D:$AM, 30, FALSE) / VLOOKUP("transport|PM25|Asthma symptoms wheeze", US_national_yearly!$D:$AM, 10, FALSE), 1)</f>
        <v>4.4449544362326187E-3</v>
      </c>
      <c r="W8" s="7">
        <f>$B8 * IFERROR(VLOOKUP("transport|PM25|Asthma symptoms wheeze", US_national_yearly!$D:$AM, 31, FALSE) / VLOOKUP("transport|PM25|Asthma symptoms wheeze", US_national_yearly!$D:$AM, 10, FALSE), 1)</f>
        <v>4.4449544362326187E-3</v>
      </c>
      <c r="X8" s="7">
        <f>$B8 * IFERROR(VLOOKUP("transport|PM25|Asthma symptoms wheeze", US_national_yearly!$D:$AM, 32, FALSE) / VLOOKUP("transport|PM25|Asthma symptoms wheeze", US_national_yearly!$D:$AM, 10, FALSE), 1)</f>
        <v>4.4449544362326187E-3</v>
      </c>
      <c r="Y8" s="7">
        <f>$B8 * IFERROR(VLOOKUP("transport|PM25|Asthma symptoms wheeze", US_national_yearly!$D:$AM, 33, FALSE) / VLOOKUP("transport|PM25|Asthma symptoms wheeze", US_national_yearly!$D:$AM, 10, FALSE), 1)</f>
        <v>4.4449544362326187E-3</v>
      </c>
      <c r="Z8" s="7">
        <f>$B8 * IFERROR(VLOOKUP("transport|PM25|Asthma symptoms wheeze", US_national_yearly!$D:$AM, 34, FALSE) / VLOOKUP("transport|PM25|Asthma symptoms wheeze", US_national_yearly!$D:$AM, 10, FALSE), 1)</f>
        <v>4.4449544362326187E-3</v>
      </c>
      <c r="AA8" s="7">
        <f>$B8 * IFERROR(VLOOKUP("transport|PM25|Asthma symptoms wheeze", US_national_yearly!$D:$AM, 35, FALSE) / VLOOKUP("transport|PM25|Asthma symptoms wheeze", US_national_yearly!$D:$AM, 10, FALSE), 1)</f>
        <v>4.4449544362326187E-3</v>
      </c>
      <c r="AB8" s="7">
        <f>$B8 * IFERROR(VLOOKUP("transport|PM25|Asthma symptoms wheeze", US_national_yearly!$D:$AM, 36, FALSE) / VLOOKUP("transport|PM25|Asthma symptoms wheeze", US_national_yearly!$D:$AM, 10, FALSE), 1)</f>
        <v>4.4449544362326187E-3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5.349548573443913E-5</v>
      </c>
      <c r="C12" s="7">
        <f>$B12 * IFERROR(VLOOKUP("transport|PM25|Respiratory hospital admissions", US_national_yearly!$D:$AM, 11, FALSE) / VLOOKUP("transport|PM25|Respiratory hospital admissions", US_national_yearly!$D:$AM, 10, FALSE), 1)</f>
        <v>5.3802100296941485E-5</v>
      </c>
      <c r="D12" s="7">
        <f>$B12 * IFERROR(VLOOKUP("transport|PM25|Respiratory hospital admissions", US_national_yearly!$D:$AM, 12, FALSE) / VLOOKUP("transport|PM25|Respiratory hospital admissions", US_national_yearly!$D:$AM, 10, FALSE), 1)</f>
        <v>5.4108714859443834E-5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5.441532942194619E-5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5.4721943984448532E-5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5.5053100790679767E-5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5.5384257596910996E-5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5.5700665343454849E-5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5.601707308999873E-5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5.6333480836542597E-5</v>
      </c>
      <c r="L12" s="7">
        <f>$B12 * IFERROR(VLOOKUP("transport|PM25|Respiratory hospital admissions", US_national_yearly!$D:$AM, 20, FALSE) / VLOOKUP("transport|PM25|Respiratory hospital admissions", US_national_yearly!$D:$AM, 10, FALSE), 1)</f>
        <v>5.6649888583086478E-5</v>
      </c>
      <c r="M12" s="7">
        <f>$B12 * IFERROR(VLOOKUP("transport|PM25|Respiratory hospital admissions", US_national_yearly!$D:$AM, 21, FALSE) / VLOOKUP("transport|PM25|Respiratory hospital admissions", US_national_yearly!$D:$AM, 10, FALSE), 1)</f>
        <v>5.6966296329630332E-5</v>
      </c>
      <c r="N12" s="7">
        <f>$B12 * IFERROR(VLOOKUP("transport|PM25|Respiratory hospital admissions", US_national_yearly!$D:$AM, 22, FALSE) / VLOOKUP("transport|PM25|Respiratory hospital admissions", US_national_yearly!$D:$AM, 10, FALSE), 1)</f>
        <v>5.7193391402681627E-5</v>
      </c>
      <c r="O12" s="7">
        <f>$B12 * IFERROR(VLOOKUP("transport|PM25|Respiratory hospital admissions", US_national_yearly!$D:$AM, 23, FALSE) / VLOOKUP("transport|PM25|Respiratory hospital admissions", US_national_yearly!$D:$AM, 10, FALSE), 1)</f>
        <v>5.7420486475732909E-5</v>
      </c>
      <c r="P12" s="7">
        <f>$B12 * IFERROR(VLOOKUP("transport|PM25|Respiratory hospital admissions", US_national_yearly!$D:$AM, 24, FALSE) / VLOOKUP("transport|PM25|Respiratory hospital admissions", US_national_yearly!$D:$AM, 10, FALSE), 1)</f>
        <v>5.7647581548784184E-5</v>
      </c>
      <c r="Q12" s="7">
        <f>$B12 * IFERROR(VLOOKUP("transport|PM25|Respiratory hospital admissions", US_national_yearly!$D:$AM, 25, FALSE) / VLOOKUP("transport|PM25|Respiratory hospital admissions", US_national_yearly!$D:$AM, 10, FALSE), 1)</f>
        <v>5.7874676621835467E-5</v>
      </c>
      <c r="R12" s="7">
        <f>$B12 * IFERROR(VLOOKUP("transport|PM25|Respiratory hospital admissions", US_national_yearly!$D:$AM, 26, FALSE) / VLOOKUP("transport|PM25|Respiratory hospital admissions", US_national_yearly!$D:$AM, 10, FALSE), 1)</f>
        <v>5.8101771694886762E-5</v>
      </c>
      <c r="S12" s="7">
        <f>$B12 * IFERROR(VLOOKUP("transport|PM25|Respiratory hospital admissions", US_national_yearly!$D:$AM, 27, FALSE) / VLOOKUP("transport|PM25|Respiratory hospital admissions", US_national_yearly!$D:$AM, 10, FALSE), 1)</f>
        <v>5.8317996128265673E-5</v>
      </c>
      <c r="T12" s="7">
        <f>$B12 * IFERROR(VLOOKUP("transport|PM25|Respiratory hospital admissions", US_national_yearly!$D:$AM, 28, FALSE) / VLOOKUP("transport|PM25|Respiratory hospital admissions", US_national_yearly!$D:$AM, 10, FALSE), 1)</f>
        <v>5.853422056164459E-5</v>
      </c>
      <c r="U12" s="7">
        <f>$B12 * IFERROR(VLOOKUP("transport|PM25|Respiratory hospital admissions", US_national_yearly!$D:$AM, 29, FALSE) / VLOOKUP("transport|PM25|Respiratory hospital admissions", US_national_yearly!$D:$AM, 10, FALSE), 1)</f>
        <v>5.8750444995023501E-5</v>
      </c>
      <c r="V12" s="7">
        <f>$B12 * IFERROR(VLOOKUP("transport|PM25|Respiratory hospital admissions", US_national_yearly!$D:$AM, 30, FALSE) / VLOOKUP("transport|PM25|Respiratory hospital admissions", US_national_yearly!$D:$AM, 10, FALSE), 1)</f>
        <v>5.8966669428402411E-5</v>
      </c>
      <c r="W12" s="7">
        <f>$B12 * IFERROR(VLOOKUP("transport|PM25|Respiratory hospital admissions", US_national_yearly!$D:$AM, 31, FALSE) / VLOOKUP("transport|PM25|Respiratory hospital admissions", US_national_yearly!$D:$AM, 10, FALSE), 1)</f>
        <v>5.9182893861781322E-5</v>
      </c>
      <c r="X12" s="7">
        <f>$B12 * IFERROR(VLOOKUP("transport|PM25|Respiratory hospital admissions", US_national_yearly!$D:$AM, 32, FALSE) / VLOOKUP("transport|PM25|Respiratory hospital admissions", US_national_yearly!$D:$AM, 10, FALSE), 1)</f>
        <v>5.9390904524887505E-5</v>
      </c>
      <c r="Y12" s="7">
        <f>$B12 * IFERROR(VLOOKUP("transport|PM25|Respiratory hospital admissions", US_national_yearly!$D:$AM, 33, FALSE) / VLOOKUP("transport|PM25|Respiratory hospital admissions", US_national_yearly!$D:$AM, 10, FALSE), 1)</f>
        <v>5.9598915187993668E-5</v>
      </c>
      <c r="Z12" s="7">
        <f>$B12 * IFERROR(VLOOKUP("transport|PM25|Respiratory hospital admissions", US_national_yearly!$D:$AM, 34, FALSE) / VLOOKUP("transport|PM25|Respiratory hospital admissions", US_national_yearly!$D:$AM, 10, FALSE), 1)</f>
        <v>5.9806925851099837E-5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6.0014936514206E-5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6.0222947177312169E-5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2.5463188854483239E-4</v>
      </c>
      <c r="C13" s="7">
        <f>$B13 * IFERROR(VLOOKUP("transport|PM25|Non-fatal heart attacks", US_national_yearly!$D:$AM, 11, FALSE) / VLOOKUP("transport|PM25|Non-fatal heart attacks", US_national_yearly!$D:$AM, 10, FALSE), 1)</f>
        <v>2.6203471326052727E-4</v>
      </c>
      <c r="D13" s="7">
        <f>$B13 * IFERROR(VLOOKUP("transport|PM25|Non-fatal heart attacks", US_national_yearly!$D:$AM, 12, FALSE) / VLOOKUP("transport|PM25|Non-fatal heart attacks", US_national_yearly!$D:$AM, 10, FALSE), 1)</f>
        <v>2.6943753797622214E-4</v>
      </c>
      <c r="E13" s="7">
        <f>$B13 * IFERROR(VLOOKUP("transport|PM25|Non-fatal heart attacks", US_national_yearly!$D:$AM, 13, FALSE) / VLOOKUP("transport|PM25|Non-fatal heart attacks", US_national_yearly!$D:$AM, 10, FALSE), 1)</f>
        <v>2.768403626919169E-4</v>
      </c>
      <c r="F13" s="7">
        <f>$B13 * IFERROR(VLOOKUP("transport|PM25|Non-fatal heart attacks", US_national_yearly!$D:$AM, 14, FALSE) / VLOOKUP("transport|PM25|Non-fatal heart attacks", US_national_yearly!$D:$AM, 10, FALSE), 1)</f>
        <v>2.8424318740761183E-4</v>
      </c>
      <c r="G13" s="7">
        <f>$B13 * IFERROR(VLOOKUP("transport|PM25|Non-fatal heart attacks", US_national_yearly!$D:$AM, 15, FALSE) / VLOOKUP("transport|PM25|Non-fatal heart attacks", US_national_yearly!$D:$AM, 10, FALSE), 1)</f>
        <v>2.9122451911201751E-4</v>
      </c>
      <c r="H13" s="7">
        <f>$B13 * IFERROR(VLOOKUP("transport|PM25|Non-fatal heart attacks", US_national_yearly!$D:$AM, 16, FALSE) / VLOOKUP("transport|PM25|Non-fatal heart attacks", US_national_yearly!$D:$AM, 10, FALSE), 1)</f>
        <v>2.9820585081642307E-4</v>
      </c>
      <c r="I13" s="7">
        <f>$B13 * IFERROR(VLOOKUP("transport|PM25|Non-fatal heart attacks", US_national_yearly!$D:$AM, 17, FALSE) / VLOOKUP("transport|PM25|Non-fatal heart attacks", US_national_yearly!$D:$AM, 10, FALSE), 1)</f>
        <v>3.0381651843369484E-4</v>
      </c>
      <c r="J13" s="7">
        <f>$B13 * IFERROR(VLOOKUP("transport|PM25|Non-fatal heart attacks", US_national_yearly!$D:$AM, 18, FALSE) / VLOOKUP("transport|PM25|Non-fatal heart attacks", US_national_yearly!$D:$AM, 10, FALSE), 1)</f>
        <v>3.0942718605096666E-4</v>
      </c>
      <c r="K13" s="7">
        <f>$B13 * IFERROR(VLOOKUP("transport|PM25|Non-fatal heart attacks", US_national_yearly!$D:$AM, 19, FALSE) / VLOOKUP("transport|PM25|Non-fatal heart attacks", US_national_yearly!$D:$AM, 10, FALSE), 1)</f>
        <v>3.1503785366823847E-4</v>
      </c>
      <c r="L13" s="7">
        <f>$B13 * IFERROR(VLOOKUP("transport|PM25|Non-fatal heart attacks", US_national_yearly!$D:$AM, 20, FALSE) / VLOOKUP("transport|PM25|Non-fatal heart attacks", US_national_yearly!$D:$AM, 10, FALSE), 1)</f>
        <v>3.2064852128551029E-4</v>
      </c>
      <c r="M13" s="7">
        <f>$B13 * IFERROR(VLOOKUP("transport|PM25|Non-fatal heart attacks", US_national_yearly!$D:$AM, 21, FALSE) / VLOOKUP("transport|PM25|Non-fatal heart attacks", US_national_yearly!$D:$AM, 10, FALSE), 1)</f>
        <v>3.2625918890278211E-4</v>
      </c>
      <c r="N13" s="7">
        <f>$B13 * IFERROR(VLOOKUP("transport|PM25|Non-fatal heart attacks", US_national_yearly!$D:$AM, 22, FALSE) / VLOOKUP("transport|PM25|Non-fatal heart attacks", US_national_yearly!$D:$AM, 10, FALSE), 1)</f>
        <v>3.2987751548785727E-4</v>
      </c>
      <c r="O13" s="7">
        <f>$B13 * IFERROR(VLOOKUP("transport|PM25|Non-fatal heart attacks", US_national_yearly!$D:$AM, 23, FALSE) / VLOOKUP("transport|PM25|Non-fatal heart attacks", US_national_yearly!$D:$AM, 10, FALSE), 1)</f>
        <v>3.3349584207293244E-4</v>
      </c>
      <c r="P13" s="7">
        <f>$B13 * IFERROR(VLOOKUP("transport|PM25|Non-fatal heart attacks", US_national_yearly!$D:$AM, 24, FALSE) / VLOOKUP("transport|PM25|Non-fatal heart attacks", US_national_yearly!$D:$AM, 10, FALSE), 1)</f>
        <v>3.371141686580076E-4</v>
      </c>
      <c r="Q13" s="7">
        <f>$B13 * IFERROR(VLOOKUP("transport|PM25|Non-fatal heart attacks", US_national_yearly!$D:$AM, 25, FALSE) / VLOOKUP("transport|PM25|Non-fatal heart attacks", US_national_yearly!$D:$AM, 10, FALSE), 1)</f>
        <v>3.4073249524308277E-4</v>
      </c>
      <c r="R13" s="7">
        <f>$B13 * IFERROR(VLOOKUP("transport|PM25|Non-fatal heart attacks", US_national_yearly!$D:$AM, 26, FALSE) / VLOOKUP("transport|PM25|Non-fatal heart attacks", US_national_yearly!$D:$AM, 10, FALSE), 1)</f>
        <v>3.4435082182815793E-4</v>
      </c>
      <c r="S13" s="7">
        <f>$B13 * IFERROR(VLOOKUP("transport|PM25|Non-fatal heart attacks", US_national_yearly!$D:$AM, 27, FALSE) / VLOOKUP("transport|PM25|Non-fatal heart attacks", US_national_yearly!$D:$AM, 10, FALSE), 1)</f>
        <v>3.4625633598266012E-4</v>
      </c>
      <c r="T13" s="7">
        <f>$B13 * IFERROR(VLOOKUP("transport|PM25|Non-fatal heart attacks", US_national_yearly!$D:$AM, 28, FALSE) / VLOOKUP("transport|PM25|Non-fatal heart attacks", US_national_yearly!$D:$AM, 10, FALSE), 1)</f>
        <v>3.4816185013716242E-4</v>
      </c>
      <c r="U13" s="7">
        <f>$B13 * IFERROR(VLOOKUP("transport|PM25|Non-fatal heart attacks", US_national_yearly!$D:$AM, 29, FALSE) / VLOOKUP("transport|PM25|Non-fatal heart attacks", US_national_yearly!$D:$AM, 10, FALSE), 1)</f>
        <v>3.5006736429166467E-4</v>
      </c>
      <c r="V13" s="7">
        <f>$B13 * IFERROR(VLOOKUP("transport|PM25|Non-fatal heart attacks", US_national_yearly!$D:$AM, 30, FALSE) / VLOOKUP("transport|PM25|Non-fatal heart attacks", US_national_yearly!$D:$AM, 10, FALSE), 1)</f>
        <v>3.5197287844616692E-4</v>
      </c>
      <c r="W13" s="7">
        <f>$B13 * IFERROR(VLOOKUP("transport|PM25|Non-fatal heart attacks", US_national_yearly!$D:$AM, 31, FALSE) / VLOOKUP("transport|PM25|Non-fatal heart attacks", US_national_yearly!$D:$AM, 10, FALSE), 1)</f>
        <v>3.5387839260066917E-4</v>
      </c>
      <c r="X13" s="7">
        <f>$B13 * IFERROR(VLOOKUP("transport|PM25|Non-fatal heart attacks", US_national_yearly!$D:$AM, 32, FALSE) / VLOOKUP("transport|PM25|Non-fatal heart attacks", US_national_yearly!$D:$AM, 10, FALSE), 1)</f>
        <v>3.5532495337562038E-4</v>
      </c>
      <c r="Y13" s="7">
        <f>$B13 * IFERROR(VLOOKUP("transport|PM25|Non-fatal heart attacks", US_national_yearly!$D:$AM, 33, FALSE) / VLOOKUP("transport|PM25|Non-fatal heart attacks", US_national_yearly!$D:$AM, 10, FALSE), 1)</f>
        <v>3.5677151415057159E-4</v>
      </c>
      <c r="Z13" s="7">
        <f>$B13 * IFERROR(VLOOKUP("transport|PM25|Non-fatal heart attacks", US_national_yearly!$D:$AM, 34, FALSE) / VLOOKUP("transport|PM25|Non-fatal heart attacks", US_national_yearly!$D:$AM, 10, FALSE), 1)</f>
        <v>3.5821807492552281E-4</v>
      </c>
      <c r="AA13" s="7">
        <f>$B13 * IFERROR(VLOOKUP("transport|PM25|Non-fatal heart attacks", US_national_yearly!$D:$AM, 35, FALSE) / VLOOKUP("transport|PM25|Non-fatal heart attacks", US_national_yearly!$D:$AM, 10, FALSE), 1)</f>
        <v>3.5966463570047408E-4</v>
      </c>
      <c r="AB13" s="7">
        <f>$B13 * IFERROR(VLOOKUP("transport|PM25|Non-fatal heart attacks", US_national_yearly!$D:$AM, 36, FALSE) / VLOOKUP("transport|PM25|Non-fatal heart attacks", US_national_yearly!$D:$AM, 10, FALSE), 1)</f>
        <v>3.6111119647542529E-4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0.24965671346589632</v>
      </c>
      <c r="C14" s="7">
        <f>$B14 * IFERROR(VLOOKUP("transport|PM25|Minor restricted activity days", US_national_yearly!$D:$AM, 11, FALSE) / VLOOKUP("transport|PM25|Minor restricted activity days", US_national_yearly!$D:$AM, 10, FALSE), 1)</f>
        <v>0.25026640476719036</v>
      </c>
      <c r="D14" s="7">
        <f>$B14 * IFERROR(VLOOKUP("transport|PM25|Minor restricted activity days", US_national_yearly!$D:$AM, 12, FALSE) / VLOOKUP("transport|PM25|Minor restricted activity days", US_national_yearly!$D:$AM, 10, FALSE), 1)</f>
        <v>0.25087609606848438</v>
      </c>
      <c r="E14" s="7">
        <f>$B14 * IFERROR(VLOOKUP("transport|PM25|Minor restricted activity days", US_national_yearly!$D:$AM, 13, FALSE) / VLOOKUP("transport|PM25|Minor restricted activity days", US_national_yearly!$D:$AM, 10, FALSE), 1)</f>
        <v>0.25148578736977845</v>
      </c>
      <c r="F14" s="7">
        <f>$B14 * IFERROR(VLOOKUP("transport|PM25|Minor restricted activity days", US_national_yearly!$D:$AM, 14, FALSE) / VLOOKUP("transport|PM25|Minor restricted activity days", US_national_yearly!$D:$AM, 10, FALSE), 1)</f>
        <v>0.2520954786710724</v>
      </c>
      <c r="G14" s="7">
        <f>$B14 * IFERROR(VLOOKUP("transport|PM25|Minor restricted activity days", US_national_yearly!$D:$AM, 15, FALSE) / VLOOKUP("transport|PM25|Minor restricted activity days", US_national_yearly!$D:$AM, 10, FALSE), 1)</f>
        <v>0.25299505993965232</v>
      </c>
      <c r="H14" s="7">
        <f>$B14 * IFERROR(VLOOKUP("transport|PM25|Minor restricted activity days", US_national_yearly!$D:$AM, 16, FALSE) / VLOOKUP("transport|PM25|Minor restricted activity days", US_national_yearly!$D:$AM, 10, FALSE), 1)</f>
        <v>0.25389464120823219</v>
      </c>
      <c r="I14" s="7">
        <f>$B14 * IFERROR(VLOOKUP("transport|PM25|Minor restricted activity days", US_national_yearly!$D:$AM, 17, FALSE) / VLOOKUP("transport|PM25|Minor restricted activity days", US_national_yearly!$D:$AM, 10, FALSE), 1)</f>
        <v>0.25543251323300081</v>
      </c>
      <c r="J14" s="7">
        <f>$B14 * IFERROR(VLOOKUP("transport|PM25|Minor restricted activity days", US_national_yearly!$D:$AM, 18, FALSE) / VLOOKUP("transport|PM25|Minor restricted activity days", US_national_yearly!$D:$AM, 10, FALSE), 1)</f>
        <v>0.25697038525776933</v>
      </c>
      <c r="K14" s="7">
        <f>$B14 * IFERROR(VLOOKUP("transport|PM25|Minor restricted activity days", US_national_yearly!$D:$AM, 19, FALSE) / VLOOKUP("transport|PM25|Minor restricted activity days", US_national_yearly!$D:$AM, 10, FALSE), 1)</f>
        <v>0.25850825728253796</v>
      </c>
      <c r="L14" s="7">
        <f>$B14 * IFERROR(VLOOKUP("transport|PM25|Minor restricted activity days", US_national_yearly!$D:$AM, 20, FALSE) / VLOOKUP("transport|PM25|Minor restricted activity days", US_national_yearly!$D:$AM, 10, FALSE), 1)</f>
        <v>0.26004612930730653</v>
      </c>
      <c r="M14" s="7">
        <f>$B14 * IFERROR(VLOOKUP("transport|PM25|Minor restricted activity days", US_national_yearly!$D:$AM, 21, FALSE) / VLOOKUP("transport|PM25|Minor restricted activity days", US_national_yearly!$D:$AM, 10, FALSE), 1)</f>
        <v>0.2615840013320751</v>
      </c>
      <c r="N14" s="7">
        <f>$B14 * IFERROR(VLOOKUP("transport|PM25|Minor restricted activity days", US_national_yearly!$D:$AM, 22, FALSE) / VLOOKUP("transport|PM25|Minor restricted activity days", US_national_yearly!$D:$AM, 10, FALSE), 1)</f>
        <v>0.26367888921958549</v>
      </c>
      <c r="O14" s="7">
        <f>$B14 * IFERROR(VLOOKUP("transport|PM25|Minor restricted activity days", US_national_yearly!$D:$AM, 23, FALSE) / VLOOKUP("transport|PM25|Minor restricted activity days", US_national_yearly!$D:$AM, 10, FALSE), 1)</f>
        <v>0.26577377710709582</v>
      </c>
      <c r="P14" s="7">
        <f>$B14 * IFERROR(VLOOKUP("transport|PM25|Minor restricted activity days", US_national_yearly!$D:$AM, 24, FALSE) / VLOOKUP("transport|PM25|Minor restricted activity days", US_national_yearly!$D:$AM, 10, FALSE), 1)</f>
        <v>0.26786866499460626</v>
      </c>
      <c r="Q14" s="7">
        <f>$B14 * IFERROR(VLOOKUP("transport|PM25|Minor restricted activity days", US_national_yearly!$D:$AM, 25, FALSE) / VLOOKUP("transport|PM25|Minor restricted activity days", US_national_yearly!$D:$AM, 10, FALSE), 1)</f>
        <v>0.2699635528821166</v>
      </c>
      <c r="R14" s="7">
        <f>$B14 * IFERROR(VLOOKUP("transport|PM25|Minor restricted activity days", US_national_yearly!$D:$AM, 26, FALSE) / VLOOKUP("transport|PM25|Minor restricted activity days", US_national_yearly!$D:$AM, 10, FALSE), 1)</f>
        <v>0.27205844076962693</v>
      </c>
      <c r="S14" s="7">
        <f>$B14 * IFERROR(VLOOKUP("transport|PM25|Minor restricted activity days", US_national_yearly!$D:$AM, 27, FALSE) / VLOOKUP("transport|PM25|Minor restricted activity days", US_national_yearly!$D:$AM, 10, FALSE), 1)</f>
        <v>0.27416775546356698</v>
      </c>
      <c r="T14" s="7">
        <f>$B14 * IFERROR(VLOOKUP("transport|PM25|Minor restricted activity days", US_national_yearly!$D:$AM, 28, FALSE) / VLOOKUP("transport|PM25|Minor restricted activity days", US_national_yearly!$D:$AM, 10, FALSE), 1)</f>
        <v>0.27627707015750708</v>
      </c>
      <c r="U14" s="7">
        <f>$B14 * IFERROR(VLOOKUP("transport|PM25|Minor restricted activity days", US_national_yearly!$D:$AM, 29, FALSE) / VLOOKUP("transport|PM25|Minor restricted activity days", US_national_yearly!$D:$AM, 10, FALSE), 1)</f>
        <v>0.27838638485144712</v>
      </c>
      <c r="V14" s="7">
        <f>$B14 * IFERROR(VLOOKUP("transport|PM25|Minor restricted activity days", US_national_yearly!$D:$AM, 30, FALSE) / VLOOKUP("transport|PM25|Minor restricted activity days", US_national_yearly!$D:$AM, 10, FALSE), 1)</f>
        <v>0.28049569954538717</v>
      </c>
      <c r="W14" s="7">
        <f>$B14 * IFERROR(VLOOKUP("transport|PM25|Minor restricted activity days", US_national_yearly!$D:$AM, 31, FALSE) / VLOOKUP("transport|PM25|Minor restricted activity days", US_national_yearly!$D:$AM, 10, FALSE), 1)</f>
        <v>0.28260501423932727</v>
      </c>
      <c r="X14" s="7">
        <f>$B14 * IFERROR(VLOOKUP("transport|PM25|Minor restricted activity days", US_national_yearly!$D:$AM, 32, FALSE) / VLOOKUP("transport|PM25|Minor restricted activity days", US_national_yearly!$D:$AM, 10, FALSE), 1)</f>
        <v>0.28443611159476279</v>
      </c>
      <c r="Y14" s="7">
        <f>$B14 * IFERROR(VLOOKUP("transport|PM25|Minor restricted activity days", US_national_yearly!$D:$AM, 33, FALSE) / VLOOKUP("transport|PM25|Minor restricted activity days", US_national_yearly!$D:$AM, 10, FALSE), 1)</f>
        <v>0.28626720895019836</v>
      </c>
      <c r="Z14" s="7">
        <f>$B14 * IFERROR(VLOOKUP("transport|PM25|Minor restricted activity days", US_national_yearly!$D:$AM, 34, FALSE) / VLOOKUP("transport|PM25|Minor restricted activity days", US_national_yearly!$D:$AM, 10, FALSE), 1)</f>
        <v>0.28809830630563393</v>
      </c>
      <c r="AA14" s="7">
        <f>$B14 * IFERROR(VLOOKUP("transport|PM25|Minor restricted activity days", US_national_yearly!$D:$AM, 35, FALSE) / VLOOKUP("transport|PM25|Minor restricted activity days", US_national_yearly!$D:$AM, 10, FALSE), 1)</f>
        <v>0.2899294036610694</v>
      </c>
      <c r="AB14" s="7">
        <f>$B14 * IFERROR(VLOOKUP("transport|PM25|Minor restricted activity days", US_national_yearly!$D:$AM, 36, FALSE) / VLOOKUP("transport|PM25|Minor restricted activity days", US_national_yearly!$D:$AM, 10, FALSE), 1)</f>
        <v>0.29176050101650497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4.2363149983087996E-2</v>
      </c>
      <c r="C15" s="7">
        <f>$B15 * IFERROR(VLOOKUP("transport|PM25|Work loss days", US_national_yearly!$D:$AM, 11, FALSE) / VLOOKUP("transport|PM25|Work loss days", US_national_yearly!$D:$AM, 10, FALSE), 1)</f>
        <v>4.2494460490066145E-2</v>
      </c>
      <c r="D15" s="7">
        <f>$B15 * IFERROR(VLOOKUP("transport|PM25|Work loss days", US_national_yearly!$D:$AM, 12, FALSE) / VLOOKUP("transport|PM25|Work loss days", US_national_yearly!$D:$AM, 10, FALSE), 1)</f>
        <v>4.2625770997044309E-2</v>
      </c>
      <c r="E15" s="7">
        <f>$B15 * IFERROR(VLOOKUP("transport|PM25|Work loss days", US_national_yearly!$D:$AM, 13, FALSE) / VLOOKUP("transport|PM25|Work loss days", US_national_yearly!$D:$AM, 10, FALSE), 1)</f>
        <v>4.2757081504022458E-2</v>
      </c>
      <c r="F15" s="7">
        <f>$B15 * IFERROR(VLOOKUP("transport|PM25|Work loss days", US_national_yearly!$D:$AM, 14, FALSE) / VLOOKUP("transport|PM25|Work loss days", US_national_yearly!$D:$AM, 10, FALSE), 1)</f>
        <v>4.2888392011000614E-2</v>
      </c>
      <c r="G15" s="7">
        <f>$B15 * IFERROR(VLOOKUP("transport|PM25|Work loss days", US_national_yearly!$D:$AM, 15, FALSE) / VLOOKUP("transport|PM25|Work loss days", US_national_yearly!$D:$AM, 10, FALSE), 1)</f>
        <v>4.306054846469836E-2</v>
      </c>
      <c r="H15" s="7">
        <f>$B15 * IFERROR(VLOOKUP("transport|PM25|Work loss days", US_national_yearly!$D:$AM, 16, FALSE) / VLOOKUP("transport|PM25|Work loss days", US_national_yearly!$D:$AM, 10, FALSE), 1)</f>
        <v>4.323270491839612E-2</v>
      </c>
      <c r="I15" s="7">
        <f>$B15 * IFERROR(VLOOKUP("transport|PM25|Work loss days", US_national_yearly!$D:$AM, 17, FALSE) / VLOOKUP("transport|PM25|Work loss days", US_national_yearly!$D:$AM, 10, FALSE), 1)</f>
        <v>4.3486224231077758E-2</v>
      </c>
      <c r="J15" s="7">
        <f>$B15 * IFERROR(VLOOKUP("transport|PM25|Work loss days", US_national_yearly!$D:$AM, 18, FALSE) / VLOOKUP("transport|PM25|Work loss days", US_national_yearly!$D:$AM, 10, FALSE), 1)</f>
        <v>4.3739743543759396E-2</v>
      </c>
      <c r="K15" s="7">
        <f>$B15 * IFERROR(VLOOKUP("transport|PM25|Work loss days", US_national_yearly!$D:$AM, 19, FALSE) / VLOOKUP("transport|PM25|Work loss days", US_national_yearly!$D:$AM, 10, FALSE), 1)</f>
        <v>4.3993262856441034E-2</v>
      </c>
      <c r="L15" s="7">
        <f>$B15 * IFERROR(VLOOKUP("transport|PM25|Work loss days", US_national_yearly!$D:$AM, 20, FALSE) / VLOOKUP("transport|PM25|Work loss days", US_national_yearly!$D:$AM, 10, FALSE), 1)</f>
        <v>4.4246782169122673E-2</v>
      </c>
      <c r="M15" s="7">
        <f>$B15 * IFERROR(VLOOKUP("transport|PM25|Work loss days", US_national_yearly!$D:$AM, 21, FALSE) / VLOOKUP("transport|PM25|Work loss days", US_national_yearly!$D:$AM, 10, FALSE), 1)</f>
        <v>4.4500301481804311E-2</v>
      </c>
      <c r="N15" s="7">
        <f>$B15 * IFERROR(VLOOKUP("transport|PM25|Work loss days", US_national_yearly!$D:$AM, 22, FALSE) / VLOOKUP("transport|PM25|Work loss days", US_national_yearly!$D:$AM, 10, FALSE), 1)</f>
        <v>4.4819374725386982E-2</v>
      </c>
      <c r="O15" s="7">
        <f>$B15 * IFERROR(VLOOKUP("transport|PM25|Work loss days", US_national_yearly!$D:$AM, 23, FALSE) / VLOOKUP("transport|PM25|Work loss days", US_national_yearly!$D:$AM, 10, FALSE), 1)</f>
        <v>4.5138447968969646E-2</v>
      </c>
      <c r="P15" s="7">
        <f>$B15 * IFERROR(VLOOKUP("transport|PM25|Work loss days", US_national_yearly!$D:$AM, 24, FALSE) / VLOOKUP("transport|PM25|Work loss days", US_national_yearly!$D:$AM, 10, FALSE), 1)</f>
        <v>4.5457521212552317E-2</v>
      </c>
      <c r="Q15" s="7">
        <f>$B15 * IFERROR(VLOOKUP("transport|PM25|Work loss days", US_national_yearly!$D:$AM, 25, FALSE) / VLOOKUP("transport|PM25|Work loss days", US_national_yearly!$D:$AM, 10, FALSE), 1)</f>
        <v>4.5776594456134974E-2</v>
      </c>
      <c r="R15" s="7">
        <f>$B15 * IFERROR(VLOOKUP("transport|PM25|Work loss days", US_national_yearly!$D:$AM, 26, FALSE) / VLOOKUP("transport|PM25|Work loss days", US_national_yearly!$D:$AM, 10, FALSE), 1)</f>
        <v>4.6095667699717645E-2</v>
      </c>
      <c r="S15" s="7">
        <f>$B15 * IFERROR(VLOOKUP("transport|PM25|Work loss days", US_national_yearly!$D:$AM, 27, FALSE) / VLOOKUP("transport|PM25|Work loss days", US_national_yearly!$D:$AM, 10, FALSE), 1)</f>
        <v>4.6448576329458632E-2</v>
      </c>
      <c r="T15" s="7">
        <f>$B15 * IFERROR(VLOOKUP("transport|PM25|Work loss days", US_national_yearly!$D:$AM, 28, FALSE) / VLOOKUP("transport|PM25|Work loss days", US_national_yearly!$D:$AM, 10, FALSE), 1)</f>
        <v>4.6801484959199634E-2</v>
      </c>
      <c r="U15" s="7">
        <f>$B15 * IFERROR(VLOOKUP("transport|PM25|Work loss days", US_national_yearly!$D:$AM, 29, FALSE) / VLOOKUP("transport|PM25|Work loss days", US_national_yearly!$D:$AM, 10, FALSE), 1)</f>
        <v>4.7154393588940607E-2</v>
      </c>
      <c r="V15" s="7">
        <f>$B15 * IFERROR(VLOOKUP("transport|PM25|Work loss days", US_national_yearly!$D:$AM, 30, FALSE) / VLOOKUP("transport|PM25|Work loss days", US_national_yearly!$D:$AM, 10, FALSE), 1)</f>
        <v>4.7507302218681609E-2</v>
      </c>
      <c r="W15" s="7">
        <f>$B15 * IFERROR(VLOOKUP("transport|PM25|Work loss days", US_national_yearly!$D:$AM, 31, FALSE) / VLOOKUP("transport|PM25|Work loss days", US_national_yearly!$D:$AM, 10, FALSE), 1)</f>
        <v>4.7860210848422596E-2</v>
      </c>
      <c r="X15" s="7">
        <f>$B15 * IFERROR(VLOOKUP("transport|PM25|Work loss days", US_national_yearly!$D:$AM, 32, FALSE) / VLOOKUP("transport|PM25|Work loss days", US_national_yearly!$D:$AM, 10, FALSE), 1)</f>
        <v>4.8173335983738665E-2</v>
      </c>
      <c r="Y15" s="7">
        <f>$B15 * IFERROR(VLOOKUP("transport|PM25|Work loss days", US_national_yearly!$D:$AM, 33, FALSE) / VLOOKUP("transport|PM25|Work loss days", US_national_yearly!$D:$AM, 10, FALSE), 1)</f>
        <v>4.8486461119054733E-2</v>
      </c>
      <c r="Z15" s="7">
        <f>$B15 * IFERROR(VLOOKUP("transport|PM25|Work loss days", US_national_yearly!$D:$AM, 34, FALSE) / VLOOKUP("transport|PM25|Work loss days", US_national_yearly!$D:$AM, 10, FALSE), 1)</f>
        <v>4.8799586254370808E-2</v>
      </c>
      <c r="AA15" s="7">
        <f>$B15 * IFERROR(VLOOKUP("transport|PM25|Work loss days", US_national_yearly!$D:$AM, 35, FALSE) / VLOOKUP("transport|PM25|Work loss days", US_national_yearly!$D:$AM, 10, FALSE), 1)</f>
        <v>4.911271138968689E-2</v>
      </c>
      <c r="AB15" s="7">
        <f>$B15 * IFERROR(VLOOKUP("transport|PM25|Work loss days", US_national_yearly!$D:$AM, 36, FALSE) / VLOOKUP("transport|PM25|Work loss days", US_national_yearly!$D:$AM, 10, FALSE), 1)</f>
        <v>4.9425836525002959E-2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5.6637008365387288E-5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5.8329361669285676E-5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6.0021714973184078E-5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6.1714068277082473E-5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6.3406421580980882E-5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6.5027393746544144E-5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6.6648365912107434E-5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6.8034710303036569E-5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6.9421054693965704E-5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7.0807399084894825E-5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7.2193743475823988E-5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7.3580087866753109E-5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7.4504395324276194E-5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7.5428702781799278E-5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7.6353010239322349E-5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7.7277317696845433E-5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7.8201625154368504E-5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7.8690670093730308E-5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7.9179715033092084E-5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7.9668759972453861E-5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8.0157804911815638E-5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8.0646849851177428E-5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8.0976081337238287E-5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8.130531282329916E-5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8.1634544309360034E-5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8.1963775795420907E-5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8.229300728148178E-5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6.5661123397182277E-5</v>
      </c>
      <c r="C2" s="7">
        <f>$B2 * IFERROR(VLOOKUP("transport|NOx|Premature mortality", US_national_yearly!$D:$AM, 11, FALSE) / VLOOKUP("transport|NOx|Premature mortality", US_national_yearly!$D:$AM, 10, FALSE), 1)</f>
        <v>6.662557431595816E-5</v>
      </c>
      <c r="D2" s="7">
        <f>$B2 * IFERROR(VLOOKUP("transport|NOx|Premature mortality", US_national_yearly!$D:$AM, 12, FALSE) / VLOOKUP("transport|NOx|Premature mortality", US_national_yearly!$D:$AM, 10, FALSE), 1)</f>
        <v>6.7590025234734043E-5</v>
      </c>
      <c r="E2" s="7">
        <f>$B2 * IFERROR(VLOOKUP("transport|NOx|Premature mortality", US_national_yearly!$D:$AM, 13, FALSE) / VLOOKUP("transport|NOx|Premature mortality", US_national_yearly!$D:$AM, 10, FALSE), 1)</f>
        <v>6.8554476153509926E-5</v>
      </c>
      <c r="F2" s="7">
        <f>$B2 * IFERROR(VLOOKUP("transport|NOx|Premature mortality", US_national_yearly!$D:$AM, 14, FALSE) / VLOOKUP("transport|NOx|Premature mortality", US_national_yearly!$D:$AM, 10, FALSE), 1)</f>
        <v>6.9518927072285822E-5</v>
      </c>
      <c r="G2" s="7">
        <f>$B2 * IFERROR(VLOOKUP("transport|NOx|Premature mortality", US_national_yearly!$D:$AM, 15, FALSE) / VLOOKUP("transport|NOx|Premature mortality", US_national_yearly!$D:$AM, 10, FALSE), 1)</f>
        <v>7.1251308941948385E-5</v>
      </c>
      <c r="H2" s="7">
        <f>$B2 * IFERROR(VLOOKUP("transport|NOx|Premature mortality", US_national_yearly!$D:$AM, 16, FALSE) / VLOOKUP("transport|NOx|Premature mortality", US_national_yearly!$D:$AM, 10, FALSE), 1)</f>
        <v>7.2983690811610988E-5</v>
      </c>
      <c r="I2" s="7">
        <f>$B2 * IFERROR(VLOOKUP("transport|NOx|Premature mortality", US_national_yearly!$D:$AM, 17, FALSE) / VLOOKUP("transport|NOx|Premature mortality", US_national_yearly!$D:$AM, 10, FALSE), 1)</f>
        <v>7.410197616939754E-5</v>
      </c>
      <c r="J2" s="7">
        <f>$B2 * IFERROR(VLOOKUP("transport|NOx|Premature mortality", US_national_yearly!$D:$AM, 18, FALSE) / VLOOKUP("transport|NOx|Premature mortality", US_national_yearly!$D:$AM, 10, FALSE), 1)</f>
        <v>7.5220261527184106E-5</v>
      </c>
      <c r="K2" s="7">
        <f>$B2 * IFERROR(VLOOKUP("transport|NOx|Premature mortality", US_national_yearly!$D:$AM, 19, FALSE) / VLOOKUP("transport|NOx|Premature mortality", US_national_yearly!$D:$AM, 10, FALSE), 1)</f>
        <v>7.6338546884970659E-5</v>
      </c>
      <c r="L2" s="7">
        <f>$B2 * IFERROR(VLOOKUP("transport|NOx|Premature mortality", US_national_yearly!$D:$AM, 20, FALSE) / VLOOKUP("transport|NOx|Premature mortality", US_national_yearly!$D:$AM, 10, FALSE), 1)</f>
        <v>7.7456832242757211E-5</v>
      </c>
      <c r="M2" s="7">
        <f>$B2 * IFERROR(VLOOKUP("transport|NOx|Premature mortality", US_national_yearly!$D:$AM, 21, FALSE) / VLOOKUP("transport|NOx|Premature mortality", US_national_yearly!$D:$AM, 10, FALSE), 1)</f>
        <v>7.8575117600543777E-5</v>
      </c>
      <c r="N2" s="7">
        <f>$B2 * IFERROR(VLOOKUP("transport|NOx|Premature mortality", US_national_yearly!$D:$AM, 22, FALSE) / VLOOKUP("transport|NOx|Premature mortality", US_national_yearly!$D:$AM, 10, FALSE), 1)</f>
        <v>7.9403539046208859E-5</v>
      </c>
      <c r="O2" s="7">
        <f>$B2 * IFERROR(VLOOKUP("transport|NOx|Premature mortality", US_national_yearly!$D:$AM, 23, FALSE) / VLOOKUP("transport|NOx|Premature mortality", US_national_yearly!$D:$AM, 10, FALSE), 1)</f>
        <v>8.0231960491873941E-5</v>
      </c>
      <c r="P2" s="7">
        <f>$B2 * IFERROR(VLOOKUP("transport|NOx|Premature mortality", US_national_yearly!$D:$AM, 24, FALSE) / VLOOKUP("transport|NOx|Premature mortality", US_national_yearly!$D:$AM, 10, FALSE), 1)</f>
        <v>8.1060381937539023E-5</v>
      </c>
      <c r="Q2" s="7">
        <f>$B2 * IFERROR(VLOOKUP("transport|NOx|Premature mortality", US_national_yearly!$D:$AM, 25, FALSE) / VLOOKUP("transport|NOx|Premature mortality", US_national_yearly!$D:$AM, 10, FALSE), 1)</f>
        <v>8.1888803383204118E-5</v>
      </c>
      <c r="R2" s="7">
        <f>$B2 * IFERROR(VLOOKUP("transport|NOx|Premature mortality", US_national_yearly!$D:$AM, 26, FALSE) / VLOOKUP("transport|NOx|Premature mortality", US_national_yearly!$D:$AM, 10, FALSE), 1)</f>
        <v>8.27172248288692E-5</v>
      </c>
      <c r="S2" s="7">
        <f>$B2 * IFERROR(VLOOKUP("transport|NOx|Premature mortality", US_national_yearly!$D:$AM, 27, FALSE) / VLOOKUP("transport|NOx|Premature mortality", US_national_yearly!$D:$AM, 10, FALSE), 1)</f>
        <v>8.3093750718017087E-5</v>
      </c>
      <c r="T2" s="7">
        <f>$B2 * IFERROR(VLOOKUP("transport|NOx|Premature mortality", US_national_yearly!$D:$AM, 28, FALSE) / VLOOKUP("transport|NOx|Premature mortality", US_national_yearly!$D:$AM, 10, FALSE), 1)</f>
        <v>8.3470276607164974E-5</v>
      </c>
      <c r="U2" s="7">
        <f>$B2 * IFERROR(VLOOKUP("transport|NOx|Premature mortality", US_national_yearly!$D:$AM, 29, FALSE) / VLOOKUP("transport|NOx|Premature mortality", US_national_yearly!$D:$AM, 10, FALSE), 1)</f>
        <v>8.3846802496312861E-5</v>
      </c>
      <c r="V2" s="7">
        <f>$B2 * IFERROR(VLOOKUP("transport|NOx|Premature mortality", US_national_yearly!$D:$AM, 30, FALSE) / VLOOKUP("transport|NOx|Premature mortality", US_national_yearly!$D:$AM, 10, FALSE), 1)</f>
        <v>8.4223328385460734E-5</v>
      </c>
      <c r="W2" s="7">
        <f>$B2 * IFERROR(VLOOKUP("transport|NOx|Premature mortality", US_national_yearly!$D:$AM, 31, FALSE) / VLOOKUP("transport|NOx|Premature mortality", US_national_yearly!$D:$AM, 10, FALSE), 1)</f>
        <v>8.4599854274608621E-5</v>
      </c>
      <c r="X2" s="7">
        <f>$B2 * IFERROR(VLOOKUP("transport|NOx|Premature mortality", US_national_yearly!$D:$AM, 32, FALSE) / VLOOKUP("transport|NOx|Premature mortality", US_national_yearly!$D:$AM, 10, FALSE), 1)</f>
        <v>8.4612896915281123E-5</v>
      </c>
      <c r="Y2" s="7">
        <f>$B2 * IFERROR(VLOOKUP("transport|NOx|Premature mortality", US_national_yearly!$D:$AM, 33, FALSE) / VLOOKUP("transport|NOx|Premature mortality", US_national_yearly!$D:$AM, 10, FALSE), 1)</f>
        <v>8.4625939555953611E-5</v>
      </c>
      <c r="Z2" s="7">
        <f>$B2 * IFERROR(VLOOKUP("transport|NOx|Premature mortality", US_national_yearly!$D:$AM, 34, FALSE) / VLOOKUP("transport|NOx|Premature mortality", US_national_yearly!$D:$AM, 10, FALSE), 1)</f>
        <v>8.46389821966261E-5</v>
      </c>
      <c r="AA2" s="7">
        <f>$B2 * IFERROR(VLOOKUP("transport|NOx|Premature mortality", US_national_yearly!$D:$AM, 35, FALSE) / VLOOKUP("transport|NOx|Premature mortality", US_national_yearly!$D:$AM, 10, FALSE), 1)</f>
        <v>8.4652024837298602E-5</v>
      </c>
      <c r="AB2" s="7">
        <f>$B2 * IFERROR(VLOOKUP("transport|NOx|Premature mortality", US_national_yearly!$D:$AM, 36, FALSE) / VLOOKUP("transport|NOx|Premature mortality", US_national_yearly!$D:$AM, 10, FALSE), 1)</f>
        <v>8.4665067477971104E-5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1.495445144967341E-7</v>
      </c>
      <c r="C3" s="7">
        <f>$B3 * IFERROR(VLOOKUP("transport|NOx|Infant mortality", US_national_yearly!$D:$AM, 11, FALSE) / VLOOKUP("transport|NOx|Infant mortality", US_national_yearly!$D:$AM, 10, FALSE), 1)</f>
        <v>1.4811972193242835E-7</v>
      </c>
      <c r="D3" s="7">
        <f>$B3 * IFERROR(VLOOKUP("transport|NOx|Infant mortality", US_national_yearly!$D:$AM, 12, FALSE) / VLOOKUP("transport|NOx|Infant mortality", US_national_yearly!$D:$AM, 10, FALSE), 1)</f>
        <v>1.4669492936812254E-7</v>
      </c>
      <c r="E3" s="7">
        <f>$B3 * IFERROR(VLOOKUP("transport|NOx|Infant mortality", US_national_yearly!$D:$AM, 13, FALSE) / VLOOKUP("transport|NOx|Infant mortality", US_national_yearly!$D:$AM, 10, FALSE), 1)</f>
        <v>1.4527013680381679E-7</v>
      </c>
      <c r="F3" s="7">
        <f>$B3 * IFERROR(VLOOKUP("transport|NOx|Infant mortality", US_national_yearly!$D:$AM, 14, FALSE) / VLOOKUP("transport|NOx|Infant mortality", US_national_yearly!$D:$AM, 10, FALSE), 1)</f>
        <v>1.4384534423951104E-7</v>
      </c>
      <c r="G3" s="7">
        <f>$B3 * IFERROR(VLOOKUP("transport|NOx|Infant mortality", US_national_yearly!$D:$AM, 15, FALSE) / VLOOKUP("transport|NOx|Infant mortality", US_national_yearly!$D:$AM, 10, FALSE), 1)</f>
        <v>9.5491642730634742E-8</v>
      </c>
      <c r="H3" s="7">
        <f>$B3 * IFERROR(VLOOKUP("transport|NOx|Infant mortality", US_national_yearly!$D:$AM, 16, FALSE) / VLOOKUP("transport|NOx|Infant mortality", US_national_yearly!$D:$AM, 10, FALSE), 1)</f>
        <v>4.7137941221758453E-8</v>
      </c>
      <c r="I3" s="7">
        <f>$B3 * IFERROR(VLOOKUP("transport|NOx|Infant mortality", US_national_yearly!$D:$AM, 17, FALSE) / VLOOKUP("transport|NOx|Infant mortality", US_national_yearly!$D:$AM, 10, FALSE), 1)</f>
        <v>4.6804630969830942E-8</v>
      </c>
      <c r="J3" s="7">
        <f>$B3 * IFERROR(VLOOKUP("transport|NOx|Infant mortality", US_national_yearly!$D:$AM, 18, FALSE) / VLOOKUP("transport|NOx|Infant mortality", US_national_yearly!$D:$AM, 10, FALSE), 1)</f>
        <v>4.6471320717903419E-8</v>
      </c>
      <c r="K3" s="7">
        <f>$B3 * IFERROR(VLOOKUP("transport|NOx|Infant mortality", US_national_yearly!$D:$AM, 19, FALSE) / VLOOKUP("transport|NOx|Infant mortality", US_national_yearly!$D:$AM, 10, FALSE), 1)</f>
        <v>4.6138010465975902E-8</v>
      </c>
      <c r="L3" s="7">
        <f>$B3 * IFERROR(VLOOKUP("transport|NOx|Infant mortality", US_national_yearly!$D:$AM, 20, FALSE) / VLOOKUP("transport|NOx|Infant mortality", US_national_yearly!$D:$AM, 10, FALSE), 1)</f>
        <v>4.5804700214048391E-8</v>
      </c>
      <c r="M3" s="7">
        <f>$B3 * IFERROR(VLOOKUP("transport|NOx|Infant mortality", US_national_yearly!$D:$AM, 21, FALSE) / VLOOKUP("transport|NOx|Infant mortality", US_national_yearly!$D:$AM, 10, FALSE), 1)</f>
        <v>4.5471389962120868E-8</v>
      </c>
      <c r="N3" s="7">
        <f>$B3 * IFERROR(VLOOKUP("transport|NOx|Infant mortality", US_national_yearly!$D:$AM, 22, FALSE) / VLOOKUP("transport|NOx|Infant mortality", US_national_yearly!$D:$AM, 10, FALSE), 1)</f>
        <v>4.5250152553421166E-8</v>
      </c>
      <c r="O3" s="7">
        <f>$B3 * IFERROR(VLOOKUP("transport|NOx|Infant mortality", US_national_yearly!$D:$AM, 23, FALSE) / VLOOKUP("transport|NOx|Infant mortality", US_national_yearly!$D:$AM, 10, FALSE), 1)</f>
        <v>4.5028915144721464E-8</v>
      </c>
      <c r="P3" s="7">
        <f>$B3 * IFERROR(VLOOKUP("transport|NOx|Infant mortality", US_national_yearly!$D:$AM, 24, FALSE) / VLOOKUP("transport|NOx|Infant mortality", US_national_yearly!$D:$AM, 10, FALSE), 1)</f>
        <v>4.4807677736021762E-8</v>
      </c>
      <c r="Q3" s="7">
        <f>$B3 * IFERROR(VLOOKUP("transport|NOx|Infant mortality", US_national_yearly!$D:$AM, 25, FALSE) / VLOOKUP("transport|NOx|Infant mortality", US_national_yearly!$D:$AM, 10, FALSE), 1)</f>
        <v>4.458644032732206E-8</v>
      </c>
      <c r="R3" s="7">
        <f>$B3 * IFERROR(VLOOKUP("transport|NOx|Infant mortality", US_national_yearly!$D:$AM, 26, FALSE) / VLOOKUP("transport|NOx|Infant mortality", US_national_yearly!$D:$AM, 10, FALSE), 1)</f>
        <v>4.4365202918622358E-8</v>
      </c>
      <c r="S3" s="7">
        <f>$B3 * IFERROR(VLOOKUP("transport|NOx|Infant mortality", US_national_yearly!$D:$AM, 27, FALSE) / VLOOKUP("transport|NOx|Infant mortality", US_national_yearly!$D:$AM, 10, FALSE), 1)</f>
        <v>4.4099240371346186E-8</v>
      </c>
      <c r="T3" s="7">
        <f>$B3 * IFERROR(VLOOKUP("transport|NOx|Infant mortality", US_national_yearly!$D:$AM, 28, FALSE) / VLOOKUP("transport|NOx|Infant mortality", US_national_yearly!$D:$AM, 10, FALSE), 1)</f>
        <v>4.3833277824070015E-8</v>
      </c>
      <c r="U3" s="7">
        <f>$B3 * IFERROR(VLOOKUP("transport|NOx|Infant mortality", US_national_yearly!$D:$AM, 29, FALSE) / VLOOKUP("transport|NOx|Infant mortality", US_national_yearly!$D:$AM, 10, FALSE), 1)</f>
        <v>4.3567315276793844E-8</v>
      </c>
      <c r="V3" s="7">
        <f>$B3 * IFERROR(VLOOKUP("transport|NOx|Infant mortality", US_national_yearly!$D:$AM, 30, FALSE) / VLOOKUP("transport|NOx|Infant mortality", US_national_yearly!$D:$AM, 10, FALSE), 1)</f>
        <v>4.3301352729517672E-8</v>
      </c>
      <c r="W3" s="7">
        <f>$B3 * IFERROR(VLOOKUP("transport|NOx|Infant mortality", US_national_yearly!$D:$AM, 31, FALSE) / VLOOKUP("transport|NOx|Infant mortality", US_national_yearly!$D:$AM, 10, FALSE), 1)</f>
        <v>4.3035390182241501E-8</v>
      </c>
      <c r="X3" s="7">
        <f>$B3 * IFERROR(VLOOKUP("transport|NOx|Infant mortality", US_national_yearly!$D:$AM, 32, FALSE) / VLOOKUP("transport|NOx|Infant mortality", US_national_yearly!$D:$AM, 10, FALSE), 1)</f>
        <v>4.2753722983252188E-8</v>
      </c>
      <c r="Y3" s="7">
        <f>$B3 * IFERROR(VLOOKUP("transport|NOx|Infant mortality", US_national_yearly!$D:$AM, 33, FALSE) / VLOOKUP("transport|NOx|Infant mortality", US_national_yearly!$D:$AM, 10, FALSE), 1)</f>
        <v>4.2472055784262862E-8</v>
      </c>
      <c r="Z3" s="7">
        <f>$B3 * IFERROR(VLOOKUP("transport|NOx|Infant mortality", US_national_yearly!$D:$AM, 34, FALSE) / VLOOKUP("transport|NOx|Infant mortality", US_national_yearly!$D:$AM, 10, FALSE), 1)</f>
        <v>4.2190388585273542E-8</v>
      </c>
      <c r="AA3" s="7">
        <f>$B3 * IFERROR(VLOOKUP("transport|NOx|Infant mortality", US_national_yearly!$D:$AM, 35, FALSE) / VLOOKUP("transport|NOx|Infant mortality", US_national_yearly!$D:$AM, 10, FALSE), 1)</f>
        <v>4.1908721386284216E-8</v>
      </c>
      <c r="AB3" s="7">
        <f>$B3 * IFERROR(VLOOKUP("transport|NOx|Infant mortality", US_national_yearly!$D:$AM, 36, FALSE) / VLOOKUP("transport|NOx|Infant mortality", US_national_yearly!$D:$AM, 10, FALSE), 1)</f>
        <v>4.162705418729489E-8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1.7728900314193424E-4</v>
      </c>
      <c r="C6" s="7">
        <f>$B6 * IFERROR(VLOOKUP("transport|NOx|Asthma symptoms cough", US_national_yearly!$D:$AM, 11, FALSE) / VLOOKUP("transport|NOx|Asthma symptoms cough", US_national_yearly!$D:$AM, 10, FALSE), 1)</f>
        <v>1.7971283367093077E-4</v>
      </c>
      <c r="D6" s="7">
        <f>$B6 * IFERROR(VLOOKUP("transport|NOx|Asthma symptoms cough", US_national_yearly!$D:$AM, 12, FALSE) / VLOOKUP("transport|NOx|Asthma symptoms cough", US_national_yearly!$D:$AM, 10, FALSE), 1)</f>
        <v>1.821366641999273E-4</v>
      </c>
      <c r="E6" s="7">
        <f>$B6 * IFERROR(VLOOKUP("transport|NOx|Asthma symptoms cough", US_national_yearly!$D:$AM, 13, FALSE) / VLOOKUP("transport|NOx|Asthma symptoms cough", US_national_yearly!$D:$AM, 10, FALSE), 1)</f>
        <v>1.8456049472892382E-4</v>
      </c>
      <c r="F6" s="7">
        <f>$B6 * IFERROR(VLOOKUP("transport|NOx|Asthma symptoms cough", US_national_yearly!$D:$AM, 14, FALSE) / VLOOKUP("transport|NOx|Asthma symptoms cough", US_national_yearly!$D:$AM, 10, FALSE), 1)</f>
        <v>1.8698432525792035E-4</v>
      </c>
      <c r="G6" s="7">
        <f>$B6 * IFERROR(VLOOKUP("transport|NOx|Asthma symptoms cough", US_national_yearly!$D:$AM, 15, FALSE) / VLOOKUP("transport|NOx|Asthma symptoms cough", US_national_yearly!$D:$AM, 10, FALSE), 1)</f>
        <v>1.889194152278906E-4</v>
      </c>
      <c r="H6" s="7">
        <f>$B6 * IFERROR(VLOOKUP("transport|NOx|Asthma symptoms cough", US_national_yearly!$D:$AM, 16, FALSE) / VLOOKUP("transport|NOx|Asthma symptoms cough", US_national_yearly!$D:$AM, 10, FALSE), 1)</f>
        <v>1.9085450519786085E-4</v>
      </c>
      <c r="I6" s="7">
        <f>$B6 * IFERROR(VLOOKUP("transport|NOx|Asthma symptoms cough", US_national_yearly!$D:$AM, 17, FALSE) / VLOOKUP("transport|NOx|Asthma symptoms cough", US_national_yearly!$D:$AM, 10, FALSE), 1)</f>
        <v>1.9152053550195965E-4</v>
      </c>
      <c r="J6" s="7">
        <f>$B6 * IFERROR(VLOOKUP("transport|NOx|Asthma symptoms cough", US_national_yearly!$D:$AM, 18, FALSE) / VLOOKUP("transport|NOx|Asthma symptoms cough", US_national_yearly!$D:$AM, 10, FALSE), 1)</f>
        <v>1.9218656580605845E-4</v>
      </c>
      <c r="K6" s="7">
        <f>$B6 * IFERROR(VLOOKUP("transport|NOx|Asthma symptoms cough", US_national_yearly!$D:$AM, 19, FALSE) / VLOOKUP("transport|NOx|Asthma symptoms cough", US_national_yearly!$D:$AM, 10, FALSE), 1)</f>
        <v>1.9285259611015725E-4</v>
      </c>
      <c r="L6" s="7">
        <f>$B6 * IFERROR(VLOOKUP("transport|NOx|Asthma symptoms cough", US_national_yearly!$D:$AM, 20, FALSE) / VLOOKUP("transport|NOx|Asthma symptoms cough", US_national_yearly!$D:$AM, 10, FALSE), 1)</f>
        <v>1.9351862641425602E-4</v>
      </c>
      <c r="M6" s="7">
        <f>$B6 * IFERROR(VLOOKUP("transport|NOx|Asthma symptoms cough", US_national_yearly!$D:$AM, 21, FALSE) / VLOOKUP("transport|NOx|Asthma symptoms cough", US_national_yearly!$D:$AM, 10, FALSE), 1)</f>
        <v>1.9418465671835485E-4</v>
      </c>
      <c r="N6" s="7">
        <f>$B6 * IFERROR(VLOOKUP("transport|NOx|Asthma symptoms cough", US_national_yearly!$D:$AM, 22, FALSE) / VLOOKUP("transport|NOx|Asthma symptoms cough", US_national_yearly!$D:$AM, 10, FALSE), 1)</f>
        <v>1.9495696845341561E-4</v>
      </c>
      <c r="O6" s="7">
        <f>$B6 * IFERROR(VLOOKUP("transport|NOx|Asthma symptoms cough", US_national_yearly!$D:$AM, 23, FALSE) / VLOOKUP("transport|NOx|Asthma symptoms cough", US_national_yearly!$D:$AM, 10, FALSE), 1)</f>
        <v>1.9572928018847638E-4</v>
      </c>
      <c r="P6" s="7">
        <f>$B6 * IFERROR(VLOOKUP("transport|NOx|Asthma symptoms cough", US_national_yearly!$D:$AM, 24, FALSE) / VLOOKUP("transport|NOx|Asthma symptoms cough", US_national_yearly!$D:$AM, 10, FALSE), 1)</f>
        <v>1.9650159192353717E-4</v>
      </c>
      <c r="Q6" s="7">
        <f>$B6 * IFERROR(VLOOKUP("transport|NOx|Asthma symptoms cough", US_national_yearly!$D:$AM, 25, FALSE) / VLOOKUP("transport|NOx|Asthma symptoms cough", US_national_yearly!$D:$AM, 10, FALSE), 1)</f>
        <v>1.9727390365859796E-4</v>
      </c>
      <c r="R6" s="7">
        <f>$B6 * IFERROR(VLOOKUP("transport|NOx|Asthma symptoms cough", US_national_yearly!$D:$AM, 26, FALSE) / VLOOKUP("transport|NOx|Asthma symptoms cough", US_national_yearly!$D:$AM, 10, FALSE), 1)</f>
        <v>1.9804621539365875E-4</v>
      </c>
      <c r="S6" s="7">
        <f>$B6 * IFERROR(VLOOKUP("transport|NOx|Asthma symptoms cough", US_national_yearly!$D:$AM, 27, FALSE) / VLOOKUP("transport|NOx|Asthma symptoms cough", US_national_yearly!$D:$AM, 10, FALSE), 1)</f>
        <v>1.9905510049911306E-4</v>
      </c>
      <c r="T6" s="7">
        <f>$B6 * IFERROR(VLOOKUP("transport|NOx|Asthma symptoms cough", US_national_yearly!$D:$AM, 28, FALSE) / VLOOKUP("transport|NOx|Asthma symptoms cough", US_national_yearly!$D:$AM, 10, FALSE), 1)</f>
        <v>2.0006398560456731E-4</v>
      </c>
      <c r="U6" s="7">
        <f>$B6 * IFERROR(VLOOKUP("transport|NOx|Asthma symptoms cough", US_national_yearly!$D:$AM, 29, FALSE) / VLOOKUP("transport|NOx|Asthma symptoms cough", US_national_yearly!$D:$AM, 10, FALSE), 1)</f>
        <v>2.0107287071002155E-4</v>
      </c>
      <c r="V6" s="7">
        <f>$B6 * IFERROR(VLOOKUP("transport|NOx|Asthma symptoms cough", US_national_yearly!$D:$AM, 30, FALSE) / VLOOKUP("transport|NOx|Asthma symptoms cough", US_national_yearly!$D:$AM, 10, FALSE), 1)</f>
        <v>2.0208175581547586E-4</v>
      </c>
      <c r="W6" s="7">
        <f>$B6 * IFERROR(VLOOKUP("transport|NOx|Asthma symptoms cough", US_national_yearly!$D:$AM, 31, FALSE) / VLOOKUP("transport|NOx|Asthma symptoms cough", US_national_yearly!$D:$AM, 10, FALSE), 1)</f>
        <v>2.0309064092093011E-4</v>
      </c>
      <c r="X6" s="7">
        <f>$B6 * IFERROR(VLOOKUP("transport|NOx|Asthma symptoms cough", US_national_yearly!$D:$AM, 32, FALSE) / VLOOKUP("transport|NOx|Asthma symptoms cough", US_national_yearly!$D:$AM, 10, FALSE), 1)</f>
        <v>2.0402804014610606E-4</v>
      </c>
      <c r="Y6" s="7">
        <f>$B6 * IFERROR(VLOOKUP("transport|NOx|Asthma symptoms cough", US_national_yearly!$D:$AM, 33, FALSE) / VLOOKUP("transport|NOx|Asthma symptoms cough", US_national_yearly!$D:$AM, 10, FALSE), 1)</f>
        <v>2.0496543937128202E-4</v>
      </c>
      <c r="Z6" s="7">
        <f>$B6 * IFERROR(VLOOKUP("transport|NOx|Asthma symptoms cough", US_national_yearly!$D:$AM, 34, FALSE) / VLOOKUP("transport|NOx|Asthma symptoms cough", US_national_yearly!$D:$AM, 10, FALSE), 1)</f>
        <v>2.0590283859645798E-4</v>
      </c>
      <c r="AA6" s="7">
        <f>$B6 * IFERROR(VLOOKUP("transport|NOx|Asthma symptoms cough", US_national_yearly!$D:$AM, 35, FALSE) / VLOOKUP("transport|NOx|Asthma symptoms cough", US_national_yearly!$D:$AM, 10, FALSE), 1)</f>
        <v>2.0684023782163393E-4</v>
      </c>
      <c r="AB6" s="7">
        <f>$B6 * IFERROR(VLOOKUP("transport|NOx|Asthma symptoms cough", US_national_yearly!$D:$AM, 36, FALSE) / VLOOKUP("transport|NOx|Asthma symptoms cough", US_national_yearly!$D:$AM, 10, FALSE), 1)</f>
        <v>2.0777763704680992E-4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2.3874343149302219E-4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2.4200744452903777E-4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2.4527145756505326E-4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2.4853547060106883E-4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2.5179948363708441E-4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2.5440534192907205E-4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2.5701120022105975E-4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2.5790809938799431E-4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2.5880499855492886E-4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2.5970189772186341E-4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2.6059879688879797E-4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2.6149569605573246E-4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2.6253571743294578E-4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2.635757388101591E-4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2.6461576018737231E-4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2.6565578156458562E-4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2.6669580294179894E-4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2.6805440210860091E-4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2.6941300127540299E-4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2.7077160044220502E-4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2.7213019960900699E-4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2.7348879877580901E-4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2.7475113261200167E-4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2.7601346644819433E-4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2.772758002843871E-4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2.7853813412057976E-4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2.7980046795677248E-4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3.6476640939623575E-4</v>
      </c>
      <c r="C8" s="7">
        <f>$B8 * IFERROR(VLOOKUP("transport|NOx|Asthma symptoms wheeze", US_national_yearly!$D:$AM, 11, FALSE) / VLOOKUP("transport|NOx|Asthma symptoms wheeze", US_national_yearly!$D:$AM, 10, FALSE), 1)</f>
        <v>3.6975336258903135E-4</v>
      </c>
      <c r="D8" s="7">
        <f>$B8 * IFERROR(VLOOKUP("transport|NOx|Asthma symptoms wheeze", US_national_yearly!$D:$AM, 12, FALSE) / VLOOKUP("transport|NOx|Asthma symptoms wheeze", US_national_yearly!$D:$AM, 10, FALSE), 1)</f>
        <v>3.747403157818271E-4</v>
      </c>
      <c r="E8" s="7">
        <f>$B8 * IFERROR(VLOOKUP("transport|NOx|Asthma symptoms wheeze", US_national_yearly!$D:$AM, 13, FALSE) / VLOOKUP("transport|NOx|Asthma symptoms wheeze", US_national_yearly!$D:$AM, 10, FALSE), 1)</f>
        <v>3.7972726897462269E-4</v>
      </c>
      <c r="F8" s="7">
        <f>$B8 * IFERROR(VLOOKUP("transport|NOx|Asthma symptoms wheeze", US_national_yearly!$D:$AM, 14, FALSE) / VLOOKUP("transport|NOx|Asthma symptoms wheeze", US_national_yearly!$D:$AM, 10, FALSE), 1)</f>
        <v>3.8471422216741823E-4</v>
      </c>
      <c r="G8" s="7">
        <f>$B8 * IFERROR(VLOOKUP("transport|NOx|Asthma symptoms wheeze", US_national_yearly!$D:$AM, 15, FALSE) / VLOOKUP("transport|NOx|Asthma symptoms wheeze", US_national_yearly!$D:$AM, 10, FALSE), 1)</f>
        <v>3.8869560741520379E-4</v>
      </c>
      <c r="H8" s="7">
        <f>$B8 * IFERROR(VLOOKUP("transport|NOx|Asthma symptoms wheeze", US_national_yearly!$D:$AM, 16, FALSE) / VLOOKUP("transport|NOx|Asthma symptoms wheeze", US_national_yearly!$D:$AM, 10, FALSE), 1)</f>
        <v>3.9267699266298941E-4</v>
      </c>
      <c r="I8" s="7">
        <f>$B8 * IFERROR(VLOOKUP("transport|NOx|Asthma symptoms wheeze", US_national_yearly!$D:$AM, 17, FALSE) / VLOOKUP("transport|NOx|Asthma symptoms wheeze", US_national_yearly!$D:$AM, 10, FALSE), 1)</f>
        <v>3.9404732855344483E-4</v>
      </c>
      <c r="J8" s="7">
        <f>$B8 * IFERROR(VLOOKUP("transport|NOx|Asthma symptoms wheeze", US_national_yearly!$D:$AM, 18, FALSE) / VLOOKUP("transport|NOx|Asthma symptoms wheeze", US_national_yearly!$D:$AM, 10, FALSE), 1)</f>
        <v>3.9541766444390041E-4</v>
      </c>
      <c r="K8" s="7">
        <f>$B8 * IFERROR(VLOOKUP("transport|NOx|Asthma symptoms wheeze", US_national_yearly!$D:$AM, 19, FALSE) / VLOOKUP("transport|NOx|Asthma symptoms wheeze", US_national_yearly!$D:$AM, 10, FALSE), 1)</f>
        <v>3.9678800033435578E-4</v>
      </c>
      <c r="L8" s="7">
        <f>$B8 * IFERROR(VLOOKUP("transport|NOx|Asthma symptoms wheeze", US_national_yearly!$D:$AM, 20, FALSE) / VLOOKUP("transport|NOx|Asthma symptoms wheeze", US_national_yearly!$D:$AM, 10, FALSE), 1)</f>
        <v>3.981583362248113E-4</v>
      </c>
      <c r="M8" s="7">
        <f>$B8 * IFERROR(VLOOKUP("transport|NOx|Asthma symptoms wheeze", US_national_yearly!$D:$AM, 21, FALSE) / VLOOKUP("transport|NOx|Asthma symptoms wheeze", US_national_yearly!$D:$AM, 10, FALSE), 1)</f>
        <v>3.9952867211526678E-4</v>
      </c>
      <c r="N8" s="7">
        <f>$B8 * IFERROR(VLOOKUP("transport|NOx|Asthma symptoms wheeze", US_national_yearly!$D:$AM, 22, FALSE) / VLOOKUP("transport|NOx|Asthma symptoms wheeze", US_national_yearly!$D:$AM, 10, FALSE), 1)</f>
        <v>4.0111767862605611E-4</v>
      </c>
      <c r="O8" s="7">
        <f>$B8 * IFERROR(VLOOKUP("transport|NOx|Asthma symptoms wheeze", US_national_yearly!$D:$AM, 23, FALSE) / VLOOKUP("transport|NOx|Asthma symptoms wheeze", US_national_yearly!$D:$AM, 10, FALSE), 1)</f>
        <v>4.0270668513684549E-4</v>
      </c>
      <c r="P8" s="7">
        <f>$B8 * IFERROR(VLOOKUP("transport|NOx|Asthma symptoms wheeze", US_national_yearly!$D:$AM, 24, FALSE) / VLOOKUP("transport|NOx|Asthma symptoms wheeze", US_national_yearly!$D:$AM, 10, FALSE), 1)</f>
        <v>4.0429569164763483E-4</v>
      </c>
      <c r="Q8" s="7">
        <f>$B8 * IFERROR(VLOOKUP("transport|NOx|Asthma symptoms wheeze", US_national_yearly!$D:$AM, 25, FALSE) / VLOOKUP("transport|NOx|Asthma symptoms wheeze", US_national_yearly!$D:$AM, 10, FALSE), 1)</f>
        <v>4.0588469815842427E-4</v>
      </c>
      <c r="R8" s="7">
        <f>$B8 * IFERROR(VLOOKUP("transport|NOx|Asthma symptoms wheeze", US_national_yearly!$D:$AM, 26, FALSE) / VLOOKUP("transport|NOx|Asthma symptoms wheeze", US_national_yearly!$D:$AM, 10, FALSE), 1)</f>
        <v>4.074737046692136E-4</v>
      </c>
      <c r="S8" s="7">
        <f>$B8 * IFERROR(VLOOKUP("transport|NOx|Asthma symptoms wheeze", US_national_yearly!$D:$AM, 27, FALSE) / VLOOKUP("transport|NOx|Asthma symptoms wheeze", US_national_yearly!$D:$AM, 10, FALSE), 1)</f>
        <v>4.0954945326589838E-4</v>
      </c>
      <c r="T8" s="7">
        <f>$B8 * IFERROR(VLOOKUP("transport|NOx|Asthma symptoms wheeze", US_national_yearly!$D:$AM, 28, FALSE) / VLOOKUP("transport|NOx|Asthma symptoms wheeze", US_national_yearly!$D:$AM, 10, FALSE), 1)</f>
        <v>4.1162520186258323E-4</v>
      </c>
      <c r="U8" s="7">
        <f>$B8 * IFERROR(VLOOKUP("transport|NOx|Asthma symptoms wheeze", US_national_yearly!$D:$AM, 29, FALSE) / VLOOKUP("transport|NOx|Asthma symptoms wheeze", US_national_yearly!$D:$AM, 10, FALSE), 1)</f>
        <v>4.1370095045926801E-4</v>
      </c>
      <c r="V8" s="7">
        <f>$B8 * IFERROR(VLOOKUP("transport|NOx|Asthma symptoms wheeze", US_national_yearly!$D:$AM, 30, FALSE) / VLOOKUP("transport|NOx|Asthma symptoms wheeze", US_national_yearly!$D:$AM, 10, FALSE), 1)</f>
        <v>4.1577669905595291E-4</v>
      </c>
      <c r="W8" s="7">
        <f>$B8 * IFERROR(VLOOKUP("transport|NOx|Asthma symptoms wheeze", US_national_yearly!$D:$AM, 31, FALSE) / VLOOKUP("transport|NOx|Asthma symptoms wheeze", US_national_yearly!$D:$AM, 10, FALSE), 1)</f>
        <v>4.1785244765263758E-4</v>
      </c>
      <c r="X8" s="7">
        <f>$B8 * IFERROR(VLOOKUP("transport|NOx|Asthma symptoms wheeze", US_national_yearly!$D:$AM, 32, FALSE) / VLOOKUP("transport|NOx|Asthma symptoms wheeze", US_national_yearly!$D:$AM, 10, FALSE), 1)</f>
        <v>4.1978111635337652E-4</v>
      </c>
      <c r="Y8" s="7">
        <f>$B8 * IFERROR(VLOOKUP("transport|NOx|Asthma symptoms wheeze", US_national_yearly!$D:$AM, 33, FALSE) / VLOOKUP("transport|NOx|Asthma symptoms wheeze", US_national_yearly!$D:$AM, 10, FALSE), 1)</f>
        <v>4.2170978505411534E-4</v>
      </c>
      <c r="Z8" s="7">
        <f>$B8 * IFERROR(VLOOKUP("transport|NOx|Asthma symptoms wheeze", US_national_yearly!$D:$AM, 34, FALSE) / VLOOKUP("transport|NOx|Asthma symptoms wheeze", US_national_yearly!$D:$AM, 10, FALSE), 1)</f>
        <v>4.2363845375485422E-4</v>
      </c>
      <c r="AA8" s="7">
        <f>$B8 * IFERROR(VLOOKUP("transport|NOx|Asthma symptoms wheeze", US_national_yearly!$D:$AM, 35, FALSE) / VLOOKUP("transport|NOx|Asthma symptoms wheeze", US_national_yearly!$D:$AM, 10, FALSE), 1)</f>
        <v>4.2556712245559304E-4</v>
      </c>
      <c r="AB8" s="7">
        <f>$B8 * IFERROR(VLOOKUP("transport|NOx|Asthma symptoms wheeze", US_national_yearly!$D:$AM, 36, FALSE) / VLOOKUP("transport|NOx|Asthma symptoms wheeze", US_national_yearly!$D:$AM, 10, FALSE), 1)</f>
        <v>4.2749579115633192E-4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4.269920057278561E-6</v>
      </c>
      <c r="C12" s="7">
        <f>$B12 * IFERROR(VLOOKUP("transport|NOx|Respiratory hospital admissions", US_national_yearly!$D:$AM, 11, FALSE) / VLOOKUP("transport|NOx|Respiratory hospital admissions", US_national_yearly!$D:$AM, 10, FALSE), 1)</f>
        <v>4.3764317814142484E-6</v>
      </c>
      <c r="D12" s="7">
        <f>$B12 * IFERROR(VLOOKUP("transport|NOx|Respiratory hospital admissions", US_national_yearly!$D:$AM, 12, FALSE) / VLOOKUP("transport|NOx|Respiratory hospital admissions", US_national_yearly!$D:$AM, 10, FALSE), 1)</f>
        <v>4.4829435055499375E-6</v>
      </c>
      <c r="E12" s="7">
        <f>$B12 * IFERROR(VLOOKUP("transport|NOx|Respiratory hospital admissions", US_national_yearly!$D:$AM, 13, FALSE) / VLOOKUP("transport|NOx|Respiratory hospital admissions", US_national_yearly!$D:$AM, 10, FALSE), 1)</f>
        <v>4.5894552296856257E-6</v>
      </c>
      <c r="F12" s="7">
        <f>$B12 * IFERROR(VLOOKUP("transport|NOx|Respiratory hospital admissions", US_national_yearly!$D:$AM, 14, FALSE) / VLOOKUP("transport|NOx|Respiratory hospital admissions", US_national_yearly!$D:$AM, 10, FALSE), 1)</f>
        <v>4.6959669538213148E-6</v>
      </c>
      <c r="G12" s="7">
        <f>$B12 * IFERROR(VLOOKUP("transport|NOx|Respiratory hospital admissions", US_national_yearly!$D:$AM, 15, FALSE) / VLOOKUP("transport|NOx|Respiratory hospital admissions", US_national_yearly!$D:$AM, 10, FALSE), 1)</f>
        <v>4.7977957873225926E-6</v>
      </c>
      <c r="H12" s="7">
        <f>$B12 * IFERROR(VLOOKUP("transport|NOx|Respiratory hospital admissions", US_national_yearly!$D:$AM, 16, FALSE) / VLOOKUP("transport|NOx|Respiratory hospital admissions", US_national_yearly!$D:$AM, 10, FALSE), 1)</f>
        <v>4.8996246208238704E-6</v>
      </c>
      <c r="I12" s="7">
        <f>$B12 * IFERROR(VLOOKUP("transport|NOx|Respiratory hospital admissions", US_national_yearly!$D:$AM, 17, FALSE) / VLOOKUP("transport|NOx|Respiratory hospital admissions", US_national_yearly!$D:$AM, 10, FALSE), 1)</f>
        <v>4.9860793938554191E-6</v>
      </c>
      <c r="J12" s="7">
        <f>$B12 * IFERROR(VLOOKUP("transport|NOx|Respiratory hospital admissions", US_national_yearly!$D:$AM, 18, FALSE) / VLOOKUP("transport|NOx|Respiratory hospital admissions", US_national_yearly!$D:$AM, 10, FALSE), 1)</f>
        <v>5.0725341668869669E-6</v>
      </c>
      <c r="K12" s="7">
        <f>$B12 * IFERROR(VLOOKUP("transport|NOx|Respiratory hospital admissions", US_national_yearly!$D:$AM, 19, FALSE) / VLOOKUP("transport|NOx|Respiratory hospital admissions", US_national_yearly!$D:$AM, 10, FALSE), 1)</f>
        <v>5.1589889399185156E-6</v>
      </c>
      <c r="L12" s="7">
        <f>$B12 * IFERROR(VLOOKUP("transport|NOx|Respiratory hospital admissions", US_national_yearly!$D:$AM, 20, FALSE) / VLOOKUP("transport|NOx|Respiratory hospital admissions", US_national_yearly!$D:$AM, 10, FALSE), 1)</f>
        <v>5.2454437129500643E-6</v>
      </c>
      <c r="M12" s="7">
        <f>$B12 * IFERROR(VLOOKUP("transport|NOx|Respiratory hospital admissions", US_national_yearly!$D:$AM, 21, FALSE) / VLOOKUP("transport|NOx|Respiratory hospital admissions", US_national_yearly!$D:$AM, 10, FALSE), 1)</f>
        <v>5.3318984859816138E-6</v>
      </c>
      <c r="N12" s="7">
        <f>$B12 * IFERROR(VLOOKUP("transport|NOx|Respiratory hospital admissions", US_national_yearly!$D:$AM, 22, FALSE) / VLOOKUP("transport|NOx|Respiratory hospital admissions", US_national_yearly!$D:$AM, 10, FALSE), 1)</f>
        <v>5.3896950583332955E-6</v>
      </c>
      <c r="O12" s="7">
        <f>$B12 * IFERROR(VLOOKUP("transport|NOx|Respiratory hospital admissions", US_national_yearly!$D:$AM, 23, FALSE) / VLOOKUP("transport|NOx|Respiratory hospital admissions", US_national_yearly!$D:$AM, 10, FALSE), 1)</f>
        <v>5.4474916306849797E-6</v>
      </c>
      <c r="P12" s="7">
        <f>$B12 * IFERROR(VLOOKUP("transport|NOx|Respiratory hospital admissions", US_national_yearly!$D:$AM, 24, FALSE) / VLOOKUP("transport|NOx|Respiratory hospital admissions", US_national_yearly!$D:$AM, 10, FALSE), 1)</f>
        <v>5.5052882030366631E-6</v>
      </c>
      <c r="Q12" s="7">
        <f>$B12 * IFERROR(VLOOKUP("transport|NOx|Respiratory hospital admissions", US_national_yearly!$D:$AM, 25, FALSE) / VLOOKUP("transport|NOx|Respiratory hospital admissions", US_national_yearly!$D:$AM, 10, FALSE), 1)</f>
        <v>5.5630847753883473E-6</v>
      </c>
      <c r="R12" s="7">
        <f>$B12 * IFERROR(VLOOKUP("transport|NOx|Respiratory hospital admissions", US_national_yearly!$D:$AM, 26, FALSE) / VLOOKUP("transport|NOx|Respiratory hospital admissions", US_national_yearly!$D:$AM, 10, FALSE), 1)</f>
        <v>5.6208813477400307E-6</v>
      </c>
      <c r="S12" s="7">
        <f>$B12 * IFERROR(VLOOKUP("transport|NOx|Respiratory hospital admissions", US_national_yearly!$D:$AM, 27, FALSE) / VLOOKUP("transport|NOx|Respiratory hospital admissions", US_national_yearly!$D:$AM, 10, FALSE), 1)</f>
        <v>5.6518471851003592E-6</v>
      </c>
      <c r="T12" s="7">
        <f>$B12 * IFERROR(VLOOKUP("transport|NOx|Respiratory hospital admissions", US_national_yearly!$D:$AM, 28, FALSE) / VLOOKUP("transport|NOx|Respiratory hospital admissions", US_national_yearly!$D:$AM, 10, FALSE), 1)</f>
        <v>5.6828130224606877E-6</v>
      </c>
      <c r="U12" s="7">
        <f>$B12 * IFERROR(VLOOKUP("transport|NOx|Respiratory hospital admissions", US_national_yearly!$D:$AM, 29, FALSE) / VLOOKUP("transport|NOx|Respiratory hospital admissions", US_national_yearly!$D:$AM, 10, FALSE), 1)</f>
        <v>5.7137788598210162E-6</v>
      </c>
      <c r="V12" s="7">
        <f>$B12 * IFERROR(VLOOKUP("transport|NOx|Respiratory hospital admissions", US_national_yearly!$D:$AM, 30, FALSE) / VLOOKUP("transport|NOx|Respiratory hospital admissions", US_national_yearly!$D:$AM, 10, FALSE), 1)</f>
        <v>5.7447446971813439E-6</v>
      </c>
      <c r="W12" s="7">
        <f>$B12 * IFERROR(VLOOKUP("transport|NOx|Respiratory hospital admissions", US_national_yearly!$D:$AM, 31, FALSE) / VLOOKUP("transport|NOx|Respiratory hospital admissions", US_national_yearly!$D:$AM, 10, FALSE), 1)</f>
        <v>5.7757105345416732E-6</v>
      </c>
      <c r="X12" s="7">
        <f>$B12 * IFERROR(VLOOKUP("transport|NOx|Respiratory hospital admissions", US_national_yearly!$D:$AM, 32, FALSE) / VLOOKUP("transport|NOx|Respiratory hospital admissions", US_national_yearly!$D:$AM, 10, FALSE), 1)</f>
        <v>5.7968716614047131E-6</v>
      </c>
      <c r="Y12" s="7">
        <f>$B12 * IFERROR(VLOOKUP("transport|NOx|Respiratory hospital admissions", US_national_yearly!$D:$AM, 33, FALSE) / VLOOKUP("transport|NOx|Respiratory hospital admissions", US_national_yearly!$D:$AM, 10, FALSE), 1)</f>
        <v>5.8180327882677539E-6</v>
      </c>
      <c r="Z12" s="7">
        <f>$B12 * IFERROR(VLOOKUP("transport|NOx|Respiratory hospital admissions", US_national_yearly!$D:$AM, 34, FALSE) / VLOOKUP("transport|NOx|Respiratory hospital admissions", US_national_yearly!$D:$AM, 10, FALSE), 1)</f>
        <v>5.8391939151307954E-6</v>
      </c>
      <c r="AA12" s="7">
        <f>$B12 * IFERROR(VLOOKUP("transport|NOx|Respiratory hospital admissions", US_national_yearly!$D:$AM, 35, FALSE) / VLOOKUP("transport|NOx|Respiratory hospital admissions", US_national_yearly!$D:$AM, 10, FALSE), 1)</f>
        <v>5.8603550419938362E-6</v>
      </c>
      <c r="AB12" s="7">
        <f>$B12 * IFERROR(VLOOKUP("transport|NOx|Respiratory hospital admissions", US_national_yearly!$D:$AM, 36, FALSE) / VLOOKUP("transport|NOx|Respiratory hospital admissions", US_national_yearly!$D:$AM, 10, FALSE), 1)</f>
        <v>5.881516168856876E-6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2.0452367892634047E-5</v>
      </c>
      <c r="C13" s="7">
        <f>$B13 * IFERROR(VLOOKUP("transport|NOx|Non-fatal heart attacks", US_national_yearly!$D:$AM, 11, FALSE) / VLOOKUP("transport|NOx|Non-fatal heart attacks", US_national_yearly!$D:$AM, 10, FALSE), 1)</f>
        <v>2.1037083070998643E-5</v>
      </c>
      <c r="D13" s="7">
        <f>$B13 * IFERROR(VLOOKUP("transport|NOx|Non-fatal heart attacks", US_national_yearly!$D:$AM, 12, FALSE) / VLOOKUP("transport|NOx|Non-fatal heart attacks", US_national_yearly!$D:$AM, 10, FALSE), 1)</f>
        <v>2.1621798249363242E-5</v>
      </c>
      <c r="E13" s="7">
        <f>$B13 * IFERROR(VLOOKUP("transport|NOx|Non-fatal heart attacks", US_national_yearly!$D:$AM, 13, FALSE) / VLOOKUP("transport|NOx|Non-fatal heart attacks", US_national_yearly!$D:$AM, 10, FALSE), 1)</f>
        <v>2.220651342772783E-5</v>
      </c>
      <c r="F13" s="7">
        <f>$B13 * IFERROR(VLOOKUP("transport|NOx|Non-fatal heart attacks", US_national_yearly!$D:$AM, 14, FALSE) / VLOOKUP("transport|NOx|Non-fatal heart attacks", US_national_yearly!$D:$AM, 10, FALSE), 1)</f>
        <v>2.2791228606092429E-5</v>
      </c>
      <c r="G13" s="7">
        <f>$B13 * IFERROR(VLOOKUP("transport|NOx|Non-fatal heart attacks", US_national_yearly!$D:$AM, 15, FALSE) / VLOOKUP("transport|NOx|Non-fatal heart attacks", US_national_yearly!$D:$AM, 10, FALSE), 1)</f>
        <v>2.3337643725033039E-5</v>
      </c>
      <c r="H13" s="7">
        <f>$B13 * IFERROR(VLOOKUP("transport|NOx|Non-fatal heart attacks", US_national_yearly!$D:$AM, 16, FALSE) / VLOOKUP("transport|NOx|Non-fatal heart attacks", US_national_yearly!$D:$AM, 10, FALSE), 1)</f>
        <v>2.388405884397365E-5</v>
      </c>
      <c r="I13" s="7">
        <f>$B13 * IFERROR(VLOOKUP("transport|NOx|Non-fatal heart attacks", US_national_yearly!$D:$AM, 17, FALSE) / VLOOKUP("transport|NOx|Non-fatal heart attacks", US_national_yearly!$D:$AM, 10, FALSE), 1)</f>
        <v>2.4314844704046345E-5</v>
      </c>
      <c r="J13" s="7">
        <f>$B13 * IFERROR(VLOOKUP("transport|NOx|Non-fatal heart attacks", US_national_yearly!$D:$AM, 18, FALSE) / VLOOKUP("transport|NOx|Non-fatal heart attacks", US_national_yearly!$D:$AM, 10, FALSE), 1)</f>
        <v>2.4745630564119045E-5</v>
      </c>
      <c r="K13" s="7">
        <f>$B13 * IFERROR(VLOOKUP("transport|NOx|Non-fatal heart attacks", US_national_yearly!$D:$AM, 19, FALSE) / VLOOKUP("transport|NOx|Non-fatal heart attacks", US_national_yearly!$D:$AM, 10, FALSE), 1)</f>
        <v>2.5176416424191727E-5</v>
      </c>
      <c r="L13" s="7">
        <f>$B13 * IFERROR(VLOOKUP("transport|NOx|Non-fatal heart attacks", US_national_yearly!$D:$AM, 20, FALSE) / VLOOKUP("transport|NOx|Non-fatal heart attacks", US_national_yearly!$D:$AM, 10, FALSE), 1)</f>
        <v>2.560720228426444E-5</v>
      </c>
      <c r="M13" s="7">
        <f>$B13 * IFERROR(VLOOKUP("transport|NOx|Non-fatal heart attacks", US_national_yearly!$D:$AM, 21, FALSE) / VLOOKUP("transport|NOx|Non-fatal heart attacks", US_national_yearly!$D:$AM, 10, FALSE), 1)</f>
        <v>2.6037988144337132E-5</v>
      </c>
      <c r="N13" s="7">
        <f>$B13 * IFERROR(VLOOKUP("transport|NOx|Non-fatal heart attacks", US_national_yearly!$D:$AM, 22, FALSE) / VLOOKUP("transport|NOx|Non-fatal heart attacks", US_national_yearly!$D:$AM, 10, FALSE), 1)</f>
        <v>2.629716198201774E-5</v>
      </c>
      <c r="O13" s="7">
        <f>$B13 * IFERROR(VLOOKUP("transport|NOx|Non-fatal heart attacks", US_national_yearly!$D:$AM, 23, FALSE) / VLOOKUP("transport|NOx|Non-fatal heart attacks", US_national_yearly!$D:$AM, 10, FALSE), 1)</f>
        <v>2.6556335819698348E-5</v>
      </c>
      <c r="P13" s="7">
        <f>$B13 * IFERROR(VLOOKUP("transport|NOx|Non-fatal heart attacks", US_national_yearly!$D:$AM, 24, FALSE) / VLOOKUP("transport|NOx|Non-fatal heart attacks", US_national_yearly!$D:$AM, 10, FALSE), 1)</f>
        <v>2.6815509657378952E-5</v>
      </c>
      <c r="Q13" s="7">
        <f>$B13 * IFERROR(VLOOKUP("transport|NOx|Non-fatal heart attacks", US_national_yearly!$D:$AM, 25, FALSE) / VLOOKUP("transport|NOx|Non-fatal heart attacks", US_national_yearly!$D:$AM, 10, FALSE), 1)</f>
        <v>2.7074683495059563E-5</v>
      </c>
      <c r="R13" s="7">
        <f>$B13 * IFERROR(VLOOKUP("transport|NOx|Non-fatal heart attacks", US_national_yearly!$D:$AM, 26, FALSE) / VLOOKUP("transport|NOx|Non-fatal heart attacks", US_national_yearly!$D:$AM, 10, FALSE), 1)</f>
        <v>2.7333857332740171E-5</v>
      </c>
      <c r="S13" s="7">
        <f>$B13 * IFERROR(VLOOKUP("transport|NOx|Non-fatal heart attacks", US_national_yearly!$D:$AM, 27, FALSE) / VLOOKUP("transport|NOx|Non-fatal heart attacks", US_national_yearly!$D:$AM, 10, FALSE), 1)</f>
        <v>2.7451420378054773E-5</v>
      </c>
      <c r="T13" s="7">
        <f>$B13 * IFERROR(VLOOKUP("transport|NOx|Non-fatal heart attacks", US_national_yearly!$D:$AM, 28, FALSE) / VLOOKUP("transport|NOx|Non-fatal heart attacks", US_national_yearly!$D:$AM, 10, FALSE), 1)</f>
        <v>2.7568983423369374E-5</v>
      </c>
      <c r="U13" s="7">
        <f>$B13 * IFERROR(VLOOKUP("transport|NOx|Non-fatal heart attacks", US_national_yearly!$D:$AM, 29, FALSE) / VLOOKUP("transport|NOx|Non-fatal heart attacks", US_national_yearly!$D:$AM, 10, FALSE), 1)</f>
        <v>2.7686546468683973E-5</v>
      </c>
      <c r="V13" s="7">
        <f>$B13 * IFERROR(VLOOKUP("transport|NOx|Non-fatal heart attacks", US_national_yearly!$D:$AM, 30, FALSE) / VLOOKUP("transport|NOx|Non-fatal heart attacks", US_national_yearly!$D:$AM, 10, FALSE), 1)</f>
        <v>2.7804109513998574E-5</v>
      </c>
      <c r="W13" s="7">
        <f>$B13 * IFERROR(VLOOKUP("transport|NOx|Non-fatal heart attacks", US_national_yearly!$D:$AM, 31, FALSE) / VLOOKUP("transport|NOx|Non-fatal heart attacks", US_national_yearly!$D:$AM, 10, FALSE), 1)</f>
        <v>2.7921672559313176E-5</v>
      </c>
      <c r="X13" s="7">
        <f>$B13 * IFERROR(VLOOKUP("transport|NOx|Non-fatal heart attacks", US_national_yearly!$D:$AM, 32, FALSE) / VLOOKUP("transport|NOx|Non-fatal heart attacks", US_national_yearly!$D:$AM, 10, FALSE), 1)</f>
        <v>2.8000234372149458E-5</v>
      </c>
      <c r="Y13" s="7">
        <f>$B13 * IFERROR(VLOOKUP("transport|NOx|Non-fatal heart attacks", US_national_yearly!$D:$AM, 33, FALSE) / VLOOKUP("transport|NOx|Non-fatal heart attacks", US_national_yearly!$D:$AM, 10, FALSE), 1)</f>
        <v>2.8078796184985743E-5</v>
      </c>
      <c r="Z13" s="7">
        <f>$B13 * IFERROR(VLOOKUP("transport|NOx|Non-fatal heart attacks", US_national_yearly!$D:$AM, 34, FALSE) / VLOOKUP("transport|NOx|Non-fatal heart attacks", US_national_yearly!$D:$AM, 10, FALSE), 1)</f>
        <v>2.8157357997822022E-5</v>
      </c>
      <c r="AA13" s="7">
        <f>$B13 * IFERROR(VLOOKUP("transport|NOx|Non-fatal heart attacks", US_national_yearly!$D:$AM, 35, FALSE) / VLOOKUP("transport|NOx|Non-fatal heart attacks", US_national_yearly!$D:$AM, 10, FALSE), 1)</f>
        <v>2.8235919810658304E-5</v>
      </c>
      <c r="AB13" s="7">
        <f>$B13 * IFERROR(VLOOKUP("transport|NOx|Non-fatal heart attacks", US_national_yearly!$D:$AM, 36, FALSE) / VLOOKUP("transport|NOx|Non-fatal heart attacks", US_national_yearly!$D:$AM, 10, FALSE), 1)</f>
        <v>2.8314481623494592E-5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2.0282783394312023E-2</v>
      </c>
      <c r="C14" s="7">
        <f>$B14 * IFERROR(VLOOKUP("transport|NOx|Minor restricted activity days", US_national_yearly!$D:$AM, 11, FALSE) / VLOOKUP("transport|NOx|Minor restricted activity days", US_national_yearly!$D:$AM, 10, FALSE), 1)</f>
        <v>2.031388030508427E-2</v>
      </c>
      <c r="D14" s="7">
        <f>$B14 * IFERROR(VLOOKUP("transport|NOx|Minor restricted activity days", US_national_yearly!$D:$AM, 12, FALSE) / VLOOKUP("transport|NOx|Minor restricted activity days", US_national_yearly!$D:$AM, 10, FALSE), 1)</f>
        <v>2.034497721585652E-2</v>
      </c>
      <c r="E14" s="7">
        <f>$B14 * IFERROR(VLOOKUP("transport|NOx|Minor restricted activity days", US_national_yearly!$D:$AM, 13, FALSE) / VLOOKUP("transport|NOx|Minor restricted activity days", US_national_yearly!$D:$AM, 10, FALSE), 1)</f>
        <v>2.0376074126628771E-2</v>
      </c>
      <c r="F14" s="7">
        <f>$B14 * IFERROR(VLOOKUP("transport|NOx|Minor restricted activity days", US_national_yearly!$D:$AM, 14, FALSE) / VLOOKUP("transport|NOx|Minor restricted activity days", US_national_yearly!$D:$AM, 10, FALSE), 1)</f>
        <v>2.0407171037401018E-2</v>
      </c>
      <c r="G14" s="7">
        <f>$B14 * IFERROR(VLOOKUP("transport|NOx|Minor restricted activity days", US_national_yearly!$D:$AM, 15, FALSE) / VLOOKUP("transport|NOx|Minor restricted activity days", US_national_yearly!$D:$AM, 10, FALSE), 1)</f>
        <v>2.0463324656554916E-2</v>
      </c>
      <c r="H14" s="7">
        <f>$B14 * IFERROR(VLOOKUP("transport|NOx|Minor restricted activity days", US_national_yearly!$D:$AM, 16, FALSE) / VLOOKUP("transport|NOx|Minor restricted activity days", US_national_yearly!$D:$AM, 10, FALSE), 1)</f>
        <v>2.0519478275708811E-2</v>
      </c>
      <c r="I14" s="7">
        <f>$B14 * IFERROR(VLOOKUP("transport|NOx|Minor restricted activity days", US_national_yearly!$D:$AM, 17, FALSE) / VLOOKUP("transport|NOx|Minor restricted activity days", US_national_yearly!$D:$AM, 10, FALSE), 1)</f>
        <v>2.0629312534229963E-2</v>
      </c>
      <c r="J14" s="7">
        <f>$B14 * IFERROR(VLOOKUP("transport|NOx|Minor restricted activity days", US_national_yearly!$D:$AM, 18, FALSE) / VLOOKUP("transport|NOx|Minor restricted activity days", US_national_yearly!$D:$AM, 10, FALSE), 1)</f>
        <v>2.0739146792751111E-2</v>
      </c>
      <c r="K14" s="7">
        <f>$B14 * IFERROR(VLOOKUP("transport|NOx|Minor restricted activity days", US_national_yearly!$D:$AM, 19, FALSE) / VLOOKUP("transport|NOx|Minor restricted activity days", US_national_yearly!$D:$AM, 10, FALSE), 1)</f>
        <v>2.0848981051272263E-2</v>
      </c>
      <c r="L14" s="7">
        <f>$B14 * IFERROR(VLOOKUP("transport|NOx|Minor restricted activity days", US_national_yearly!$D:$AM, 20, FALSE) / VLOOKUP("transport|NOx|Minor restricted activity days", US_national_yearly!$D:$AM, 10, FALSE), 1)</f>
        <v>2.0958815309793412E-2</v>
      </c>
      <c r="M14" s="7">
        <f>$B14 * IFERROR(VLOOKUP("transport|NOx|Minor restricted activity days", US_national_yearly!$D:$AM, 21, FALSE) / VLOOKUP("transport|NOx|Minor restricted activity days", US_national_yearly!$D:$AM, 10, FALSE), 1)</f>
        <v>2.1068649568314564E-2</v>
      </c>
      <c r="N14" s="7">
        <f>$B14 * IFERROR(VLOOKUP("transport|NOx|Minor restricted activity days", US_national_yearly!$D:$AM, 22, FALSE) / VLOOKUP("transport|NOx|Minor restricted activity days", US_national_yearly!$D:$AM, 10, FALSE), 1)</f>
        <v>2.1225907322138148E-2</v>
      </c>
      <c r="O14" s="7">
        <f>$B14 * IFERROR(VLOOKUP("transport|NOx|Minor restricted activity days", US_national_yearly!$D:$AM, 23, FALSE) / VLOOKUP("transport|NOx|Minor restricted activity days", US_national_yearly!$D:$AM, 10, FALSE), 1)</f>
        <v>2.1383165075961729E-2</v>
      </c>
      <c r="P14" s="7">
        <f>$B14 * IFERROR(VLOOKUP("transport|NOx|Minor restricted activity days", US_national_yearly!$D:$AM, 24, FALSE) / VLOOKUP("transport|NOx|Minor restricted activity days", US_national_yearly!$D:$AM, 10, FALSE), 1)</f>
        <v>2.1540422829785313E-2</v>
      </c>
      <c r="Q14" s="7">
        <f>$B14 * IFERROR(VLOOKUP("transport|NOx|Minor restricted activity days", US_national_yearly!$D:$AM, 25, FALSE) / VLOOKUP("transport|NOx|Minor restricted activity days", US_national_yearly!$D:$AM, 10, FALSE), 1)</f>
        <v>2.1697680583608898E-2</v>
      </c>
      <c r="R14" s="7">
        <f>$B14 * IFERROR(VLOOKUP("transport|NOx|Minor restricted activity days", US_national_yearly!$D:$AM, 26, FALSE) / VLOOKUP("transport|NOx|Minor restricted activity days", US_national_yearly!$D:$AM, 10, FALSE), 1)</f>
        <v>2.1854938337432482E-2</v>
      </c>
      <c r="S14" s="7">
        <f>$B14 * IFERROR(VLOOKUP("transport|NOx|Minor restricted activity days", US_national_yearly!$D:$AM, 27, FALSE) / VLOOKUP("transport|NOx|Minor restricted activity days", US_national_yearly!$D:$AM, 10, FALSE), 1)</f>
        <v>2.2012163028149907E-2</v>
      </c>
      <c r="T14" s="7">
        <f>$B14 * IFERROR(VLOOKUP("transport|NOx|Minor restricted activity days", US_national_yearly!$D:$AM, 28, FALSE) / VLOOKUP("transport|NOx|Minor restricted activity days", US_national_yearly!$D:$AM, 10, FALSE), 1)</f>
        <v>2.2169387718867332E-2</v>
      </c>
      <c r="U14" s="7">
        <f>$B14 * IFERROR(VLOOKUP("transport|NOx|Minor restricted activity days", US_national_yearly!$D:$AM, 29, FALSE) / VLOOKUP("transport|NOx|Minor restricted activity days", US_national_yearly!$D:$AM, 10, FALSE), 1)</f>
        <v>2.2326612409584761E-2</v>
      </c>
      <c r="V14" s="7">
        <f>$B14 * IFERROR(VLOOKUP("transport|NOx|Minor restricted activity days", US_national_yearly!$D:$AM, 30, FALSE) / VLOOKUP("transport|NOx|Minor restricted activity days", US_national_yearly!$D:$AM, 10, FALSE), 1)</f>
        <v>2.2483837100302186E-2</v>
      </c>
      <c r="W14" s="7">
        <f>$B14 * IFERROR(VLOOKUP("transport|NOx|Minor restricted activity days", US_national_yearly!$D:$AM, 31, FALSE) / VLOOKUP("transport|NOx|Minor restricted activity days", US_national_yearly!$D:$AM, 10, FALSE), 1)</f>
        <v>2.2641061791019611E-2</v>
      </c>
      <c r="X14" s="7">
        <f>$B14 * IFERROR(VLOOKUP("transport|NOx|Minor restricted activity days", US_national_yearly!$D:$AM, 32, FALSE) / VLOOKUP("transport|NOx|Minor restricted activity days", US_national_yearly!$D:$AM, 10, FALSE), 1)</f>
        <v>2.2773989277416126E-2</v>
      </c>
      <c r="Y14" s="7">
        <f>$B14 * IFERROR(VLOOKUP("transport|NOx|Minor restricted activity days", US_national_yearly!$D:$AM, 33, FALSE) / VLOOKUP("transport|NOx|Minor restricted activity days", US_national_yearly!$D:$AM, 10, FALSE), 1)</f>
        <v>2.2906916763812641E-2</v>
      </c>
      <c r="Z14" s="7">
        <f>$B14 * IFERROR(VLOOKUP("transport|NOx|Minor restricted activity days", US_national_yearly!$D:$AM, 34, FALSE) / VLOOKUP("transport|NOx|Minor restricted activity days", US_national_yearly!$D:$AM, 10, FALSE), 1)</f>
        <v>2.3039844250209159E-2</v>
      </c>
      <c r="AA14" s="7">
        <f>$B14 * IFERROR(VLOOKUP("transport|NOx|Minor restricted activity days", US_national_yearly!$D:$AM, 35, FALSE) / VLOOKUP("transport|NOx|Minor restricted activity days", US_national_yearly!$D:$AM, 10, FALSE), 1)</f>
        <v>2.3172771736605674E-2</v>
      </c>
      <c r="AB14" s="7">
        <f>$B14 * IFERROR(VLOOKUP("transport|NOx|Minor restricted activity days", US_national_yearly!$D:$AM, 36, FALSE) / VLOOKUP("transport|NOx|Minor restricted activity days", US_national_yearly!$D:$AM, 10, FALSE), 1)</f>
        <v>2.3305699223002189E-2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3.442234665340009E-3</v>
      </c>
      <c r="C15" s="7">
        <f>$B15 * IFERROR(VLOOKUP("transport|NOx|Work loss days", US_national_yearly!$D:$AM, 11, FALSE) / VLOOKUP("transport|NOx|Work loss days", US_national_yearly!$D:$AM, 10, FALSE), 1)</f>
        <v>3.4498917311725301E-3</v>
      </c>
      <c r="D15" s="7">
        <f>$B15 * IFERROR(VLOOKUP("transport|NOx|Work loss days", US_national_yearly!$D:$AM, 12, FALSE) / VLOOKUP("transport|NOx|Work loss days", US_national_yearly!$D:$AM, 10, FALSE), 1)</f>
        <v>3.4575487970050526E-3</v>
      </c>
      <c r="E15" s="7">
        <f>$B15 * IFERROR(VLOOKUP("transport|NOx|Work loss days", US_national_yearly!$D:$AM, 13, FALSE) / VLOOKUP("transport|NOx|Work loss days", US_national_yearly!$D:$AM, 10, FALSE), 1)</f>
        <v>3.4652058628375738E-3</v>
      </c>
      <c r="F15" s="7">
        <f>$B15 * IFERROR(VLOOKUP("transport|NOx|Work loss days", US_national_yearly!$D:$AM, 14, FALSE) / VLOOKUP("transport|NOx|Work loss days", US_national_yearly!$D:$AM, 10, FALSE), 1)</f>
        <v>3.4728629286700959E-3</v>
      </c>
      <c r="G15" s="7">
        <f>$B15 * IFERROR(VLOOKUP("transport|NOx|Work loss days", US_national_yearly!$D:$AM, 15, FALSE) / VLOOKUP("transport|NOx|Work loss days", US_national_yearly!$D:$AM, 10, FALSE), 1)</f>
        <v>3.4840423101037488E-3</v>
      </c>
      <c r="H15" s="7">
        <f>$B15 * IFERROR(VLOOKUP("transport|NOx|Work loss days", US_national_yearly!$D:$AM, 16, FALSE) / VLOOKUP("transport|NOx|Work loss days", US_national_yearly!$D:$AM, 10, FALSE), 1)</f>
        <v>3.4952216915374026E-3</v>
      </c>
      <c r="I15" s="7">
        <f>$B15 * IFERROR(VLOOKUP("transport|NOx|Work loss days", US_national_yearly!$D:$AM, 17, FALSE) / VLOOKUP("transport|NOx|Work loss days", US_national_yearly!$D:$AM, 10, FALSE), 1)</f>
        <v>3.5133316835797416E-3</v>
      </c>
      <c r="J15" s="7">
        <f>$B15 * IFERROR(VLOOKUP("transport|NOx|Work loss days", US_national_yearly!$D:$AM, 18, FALSE) / VLOOKUP("transport|NOx|Work loss days", US_national_yearly!$D:$AM, 10, FALSE), 1)</f>
        <v>3.5314416756220815E-3</v>
      </c>
      <c r="K15" s="7">
        <f>$B15 * IFERROR(VLOOKUP("transport|NOx|Work loss days", US_national_yearly!$D:$AM, 19, FALSE) / VLOOKUP("transport|NOx|Work loss days", US_national_yearly!$D:$AM, 10, FALSE), 1)</f>
        <v>3.5495516676644205E-3</v>
      </c>
      <c r="L15" s="7">
        <f>$B15 * IFERROR(VLOOKUP("transport|NOx|Work loss days", US_national_yearly!$D:$AM, 20, FALSE) / VLOOKUP("transport|NOx|Work loss days", US_national_yearly!$D:$AM, 10, FALSE), 1)</f>
        <v>3.5676616597067595E-3</v>
      </c>
      <c r="M15" s="7">
        <f>$B15 * IFERROR(VLOOKUP("transport|NOx|Work loss days", US_national_yearly!$D:$AM, 21, FALSE) / VLOOKUP("transport|NOx|Work loss days", US_national_yearly!$D:$AM, 10, FALSE), 1)</f>
        <v>3.5857716517490993E-3</v>
      </c>
      <c r="N15" s="7">
        <f>$B15 * IFERROR(VLOOKUP("transport|NOx|Work loss days", US_national_yearly!$D:$AM, 22, FALSE) / VLOOKUP("transport|NOx|Work loss days", US_national_yearly!$D:$AM, 10, FALSE), 1)</f>
        <v>3.6093406951135925E-3</v>
      </c>
      <c r="O15" s="7">
        <f>$B15 * IFERROR(VLOOKUP("transport|NOx|Work loss days", US_national_yearly!$D:$AM, 23, FALSE) / VLOOKUP("transport|NOx|Work loss days", US_national_yearly!$D:$AM, 10, FALSE), 1)</f>
        <v>3.6329097384780852E-3</v>
      </c>
      <c r="P15" s="7">
        <f>$B15 * IFERROR(VLOOKUP("transport|NOx|Work loss days", US_national_yearly!$D:$AM, 24, FALSE) / VLOOKUP("transport|NOx|Work loss days", US_national_yearly!$D:$AM, 10, FALSE), 1)</f>
        <v>3.6564787818425784E-3</v>
      </c>
      <c r="Q15" s="7">
        <f>$B15 * IFERROR(VLOOKUP("transport|NOx|Work loss days", US_national_yearly!$D:$AM, 25, FALSE) / VLOOKUP("transport|NOx|Work loss days", US_national_yearly!$D:$AM, 10, FALSE), 1)</f>
        <v>3.6800478252070707E-3</v>
      </c>
      <c r="R15" s="7">
        <f>$B15 * IFERROR(VLOOKUP("transport|NOx|Work loss days", US_national_yearly!$D:$AM, 26, FALSE) / VLOOKUP("transport|NOx|Work loss days", US_national_yearly!$D:$AM, 10, FALSE), 1)</f>
        <v>3.7036168685715644E-3</v>
      </c>
      <c r="S15" s="7">
        <f>$B15 * IFERROR(VLOOKUP("transport|NOx|Work loss days", US_national_yearly!$D:$AM, 27, FALSE) / VLOOKUP("transport|NOx|Work loss days", US_national_yearly!$D:$AM, 10, FALSE), 1)</f>
        <v>3.729893338337841E-3</v>
      </c>
      <c r="T15" s="7">
        <f>$B15 * IFERROR(VLOOKUP("transport|NOx|Work loss days", US_national_yearly!$D:$AM, 28, FALSE) / VLOOKUP("transport|NOx|Work loss days", US_national_yearly!$D:$AM, 10, FALSE), 1)</f>
        <v>3.7561698081041177E-3</v>
      </c>
      <c r="U15" s="7">
        <f>$B15 * IFERROR(VLOOKUP("transport|NOx|Work loss days", US_national_yearly!$D:$AM, 29, FALSE) / VLOOKUP("transport|NOx|Work loss days", US_national_yearly!$D:$AM, 10, FALSE), 1)</f>
        <v>3.7824462778703934E-3</v>
      </c>
      <c r="V15" s="7">
        <f>$B15 * IFERROR(VLOOKUP("transport|NOx|Work loss days", US_national_yearly!$D:$AM, 30, FALSE) / VLOOKUP("transport|NOx|Work loss days", US_national_yearly!$D:$AM, 10, FALSE), 1)</f>
        <v>3.8087227476366701E-3</v>
      </c>
      <c r="W15" s="7">
        <f>$B15 * IFERROR(VLOOKUP("transport|NOx|Work loss days", US_national_yearly!$D:$AM, 31, FALSE) / VLOOKUP("transport|NOx|Work loss days", US_national_yearly!$D:$AM, 10, FALSE), 1)</f>
        <v>3.8349992174029467E-3</v>
      </c>
      <c r="X15" s="7">
        <f>$B15 * IFERROR(VLOOKUP("transport|NOx|Work loss days", US_national_yearly!$D:$AM, 32, FALSE) / VLOOKUP("transport|NOx|Work loss days", US_national_yearly!$D:$AM, 10, FALSE), 1)</f>
        <v>3.8578057921843526E-3</v>
      </c>
      <c r="Y15" s="7">
        <f>$B15 * IFERROR(VLOOKUP("transport|NOx|Work loss days", US_national_yearly!$D:$AM, 33, FALSE) / VLOOKUP("transport|NOx|Work loss days", US_national_yearly!$D:$AM, 10, FALSE), 1)</f>
        <v>3.8806123669657589E-3</v>
      </c>
      <c r="Z15" s="7">
        <f>$B15 * IFERROR(VLOOKUP("transport|NOx|Work loss days", US_national_yearly!$D:$AM, 34, FALSE) / VLOOKUP("transport|NOx|Work loss days", US_national_yearly!$D:$AM, 10, FALSE), 1)</f>
        <v>3.9034189417471651E-3</v>
      </c>
      <c r="AA15" s="7">
        <f>$B15 * IFERROR(VLOOKUP("transport|NOx|Work loss days", US_national_yearly!$D:$AM, 35, FALSE) / VLOOKUP("transport|NOx|Work loss days", US_national_yearly!$D:$AM, 10, FALSE), 1)</f>
        <v>3.9262255165285719E-3</v>
      </c>
      <c r="AB15" s="7">
        <f>$B15 * IFERROR(VLOOKUP("transport|NOx|Work loss days", US_national_yearly!$D:$AM, 36, FALSE) / VLOOKUP("transport|NOx|Work loss days", US_national_yearly!$D:$AM, 10, FALSE), 1)</f>
        <v>3.9490320913099777E-3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4.55484013002259E-6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4.6886824297708815E-6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4.8225247295191721E-6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4.9563670292674628E-6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5.0902093290157542E-6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5.2173373796600472E-6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5.3444654303043402E-6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5.4513703135206426E-6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5.5582751967369449E-6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5.6651800799532473E-6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5.7720849631695497E-6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5.8789898463858529E-6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5.9458410121314146E-6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6.012692177876978E-6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6.0795433436225406E-6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6.146394509368104E-6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6.2132456751136666E-6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6.2437480262782202E-6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6.2742503774427739E-6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6.3047527286073267E-6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6.3352550797718803E-6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6.3657574309364339E-6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6.3827330468642749E-6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6.3997086627921158E-6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6.4166842787199567E-6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6.4336598946477976E-6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6.4506355105756385E-6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1.5844274895020493E-4</v>
      </c>
      <c r="C2" s="7">
        <f>$B2 * IFERROR(VLOOKUP("transport|SO2|Premature mortality", US_national_yearly!$D:$AM, 11, FALSE) / VLOOKUP("transport|SO2|Premature mortality", US_national_yearly!$D:$AM, 10, FALSE), 1)</f>
        <v>1.6044934063792348E-4</v>
      </c>
      <c r="D2" s="7">
        <f>$B2 * IFERROR(VLOOKUP("transport|SO2|Premature mortality", US_national_yearly!$D:$AM, 12, FALSE) / VLOOKUP("transport|SO2|Premature mortality", US_national_yearly!$D:$AM, 10, FALSE), 1)</f>
        <v>1.6245593232564208E-4</v>
      </c>
      <c r="E2" s="7">
        <f>$B2 * IFERROR(VLOOKUP("transport|SO2|Premature mortality", US_national_yearly!$D:$AM, 13, FALSE) / VLOOKUP("transport|SO2|Premature mortality", US_national_yearly!$D:$AM, 10, FALSE), 1)</f>
        <v>1.6446252401336063E-4</v>
      </c>
      <c r="F2" s="7">
        <f>$B2 * IFERROR(VLOOKUP("transport|SO2|Premature mortality", US_national_yearly!$D:$AM, 14, FALSE) / VLOOKUP("transport|SO2|Premature mortality", US_national_yearly!$D:$AM, 10, FALSE), 1)</f>
        <v>1.6646911570107918E-4</v>
      </c>
      <c r="G2" s="7">
        <f>$B2 * IFERROR(VLOOKUP("transport|SO2|Premature mortality", US_national_yearly!$D:$AM, 15, FALSE) / VLOOKUP("transport|SO2|Premature mortality", US_national_yearly!$D:$AM, 10, FALSE), 1)</f>
        <v>1.7033570416203302E-4</v>
      </c>
      <c r="H2" s="7">
        <f>$B2 * IFERROR(VLOOKUP("transport|SO2|Premature mortality", US_national_yearly!$D:$AM, 16, FALSE) / VLOOKUP("transport|SO2|Premature mortality", US_national_yearly!$D:$AM, 10, FALSE), 1)</f>
        <v>1.7420229262298683E-4</v>
      </c>
      <c r="I2" s="7">
        <f>$B2 * IFERROR(VLOOKUP("transport|SO2|Premature mortality", US_national_yearly!$D:$AM, 17, FALSE) / VLOOKUP("transport|SO2|Premature mortality", US_national_yearly!$D:$AM, 10, FALSE), 1)</f>
        <v>1.767575711994016E-4</v>
      </c>
      <c r="J2" s="7">
        <f>$B2 * IFERROR(VLOOKUP("transport|SO2|Premature mortality", US_national_yearly!$D:$AM, 18, FALSE) / VLOOKUP("transport|SO2|Premature mortality", US_national_yearly!$D:$AM, 10, FALSE), 1)</f>
        <v>1.7931284977581636E-4</v>
      </c>
      <c r="K2" s="7">
        <f>$B2 * IFERROR(VLOOKUP("transport|SO2|Premature mortality", US_national_yearly!$D:$AM, 19, FALSE) / VLOOKUP("transport|SO2|Premature mortality", US_national_yearly!$D:$AM, 10, FALSE), 1)</f>
        <v>1.8186812835223109E-4</v>
      </c>
      <c r="L2" s="7">
        <f>$B2 * IFERROR(VLOOKUP("transport|SO2|Premature mortality", US_national_yearly!$D:$AM, 20, FALSE) / VLOOKUP("transport|SO2|Premature mortality", US_national_yearly!$D:$AM, 10, FALSE), 1)</f>
        <v>1.8442340692864586E-4</v>
      </c>
      <c r="M2" s="7">
        <f>$B2 * IFERROR(VLOOKUP("transport|SO2|Premature mortality", US_national_yearly!$D:$AM, 21, FALSE) / VLOOKUP("transport|SO2|Premature mortality", US_national_yearly!$D:$AM, 10, FALSE), 1)</f>
        <v>1.8697868550506062E-4</v>
      </c>
      <c r="N2" s="7">
        <f>$B2 * IFERROR(VLOOKUP("transport|SO2|Premature mortality", US_national_yearly!$D:$AM, 22, FALSE) / VLOOKUP("transport|SO2|Premature mortality", US_national_yearly!$D:$AM, 10, FALSE), 1)</f>
        <v>1.8897524157939359E-4</v>
      </c>
      <c r="O2" s="7">
        <f>$B2 * IFERROR(VLOOKUP("transport|SO2|Premature mortality", US_national_yearly!$D:$AM, 23, FALSE) / VLOOKUP("transport|SO2|Premature mortality", US_national_yearly!$D:$AM, 10, FALSE), 1)</f>
        <v>1.9097179765372656E-4</v>
      </c>
      <c r="P2" s="7">
        <f>$B2 * IFERROR(VLOOKUP("transport|SO2|Premature mortality", US_national_yearly!$D:$AM, 24, FALSE) / VLOOKUP("transport|SO2|Premature mortality", US_national_yearly!$D:$AM, 10, FALSE), 1)</f>
        <v>1.9296835372805952E-4</v>
      </c>
      <c r="Q2" s="7">
        <f>$B2 * IFERROR(VLOOKUP("transport|SO2|Premature mortality", US_national_yearly!$D:$AM, 25, FALSE) / VLOOKUP("transport|SO2|Premature mortality", US_national_yearly!$D:$AM, 10, FALSE), 1)</f>
        <v>1.9496490980239249E-4</v>
      </c>
      <c r="R2" s="7">
        <f>$B2 * IFERROR(VLOOKUP("transport|SO2|Premature mortality", US_national_yearly!$D:$AM, 26, FALSE) / VLOOKUP("transport|SO2|Premature mortality", US_national_yearly!$D:$AM, 10, FALSE), 1)</f>
        <v>1.9696146587672544E-4</v>
      </c>
      <c r="S2" s="7">
        <f>$B2 * IFERROR(VLOOKUP("transport|SO2|Premature mortality", US_national_yearly!$D:$AM, 27, FALSE) / VLOOKUP("transport|SO2|Premature mortality", US_national_yearly!$D:$AM, 10, FALSE), 1)</f>
        <v>1.9803064823907266E-4</v>
      </c>
      <c r="T2" s="7">
        <f>$B2 * IFERROR(VLOOKUP("transport|SO2|Premature mortality", US_national_yearly!$D:$AM, 28, FALSE) / VLOOKUP("transport|SO2|Premature mortality", US_national_yearly!$D:$AM, 10, FALSE), 1)</f>
        <v>1.9909983060141989E-4</v>
      </c>
      <c r="U2" s="7">
        <f>$B2 * IFERROR(VLOOKUP("transport|SO2|Premature mortality", US_national_yearly!$D:$AM, 29, FALSE) / VLOOKUP("transport|SO2|Premature mortality", US_national_yearly!$D:$AM, 10, FALSE), 1)</f>
        <v>2.0016901296376712E-4</v>
      </c>
      <c r="V2" s="7">
        <f>$B2 * IFERROR(VLOOKUP("transport|SO2|Premature mortality", US_national_yearly!$D:$AM, 30, FALSE) / VLOOKUP("transport|SO2|Premature mortality", US_national_yearly!$D:$AM, 10, FALSE), 1)</f>
        <v>2.0123819532611432E-4</v>
      </c>
      <c r="W2" s="7">
        <f>$B2 * IFERROR(VLOOKUP("transport|SO2|Premature mortality", US_national_yearly!$D:$AM, 31, FALSE) / VLOOKUP("transport|SO2|Premature mortality", US_national_yearly!$D:$AM, 10, FALSE), 1)</f>
        <v>2.0230737768846157E-4</v>
      </c>
      <c r="X2" s="7">
        <f>$B2 * IFERROR(VLOOKUP("transport|SO2|Premature mortality", US_national_yearly!$D:$AM, 32, FALSE) / VLOOKUP("transport|SO2|Premature mortality", US_national_yearly!$D:$AM, 10, FALSE), 1)</f>
        <v>2.0252458535575531E-4</v>
      </c>
      <c r="Y2" s="7">
        <f>$B2 * IFERROR(VLOOKUP("transport|SO2|Premature mortality", US_national_yearly!$D:$AM, 33, FALSE) / VLOOKUP("transport|SO2|Premature mortality", US_national_yearly!$D:$AM, 10, FALSE), 1)</f>
        <v>2.0274179302304907E-4</v>
      </c>
      <c r="Z2" s="7">
        <f>$B2 * IFERROR(VLOOKUP("transport|SO2|Premature mortality", US_national_yearly!$D:$AM, 34, FALSE) / VLOOKUP("transport|SO2|Premature mortality", US_national_yearly!$D:$AM, 10, FALSE), 1)</f>
        <v>2.0295900069034284E-4</v>
      </c>
      <c r="AA2" s="7">
        <f>$B2 * IFERROR(VLOOKUP("transport|SO2|Premature mortality", US_national_yearly!$D:$AM, 35, FALSE) / VLOOKUP("transport|SO2|Premature mortality", US_national_yearly!$D:$AM, 10, FALSE), 1)</f>
        <v>2.0317620835763663E-4</v>
      </c>
      <c r="AB2" s="7">
        <f>$B2 * IFERROR(VLOOKUP("transport|SO2|Premature mortality", US_national_yearly!$D:$AM, 36, FALSE) / VLOOKUP("transport|SO2|Premature mortality", US_national_yearly!$D:$AM, 10, FALSE), 1)</f>
        <v>2.0339341602493036E-4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3.5447824736446883E-7</v>
      </c>
      <c r="C3" s="7">
        <f>$B3 * IFERROR(VLOOKUP("transport|SO2|Infant mortality", US_national_yearly!$D:$AM, 11, FALSE) / VLOOKUP("transport|SO2|Infant mortality", US_national_yearly!$D:$AM, 10, FALSE), 1)</f>
        <v>3.5143321456080096E-7</v>
      </c>
      <c r="D3" s="7">
        <f>$B3 * IFERROR(VLOOKUP("transport|SO2|Infant mortality", US_national_yearly!$D:$AM, 12, FALSE) / VLOOKUP("transport|SO2|Infant mortality", US_national_yearly!$D:$AM, 10, FALSE), 1)</f>
        <v>3.4838818175713308E-7</v>
      </c>
      <c r="E3" s="7">
        <f>$B3 * IFERROR(VLOOKUP("transport|SO2|Infant mortality", US_national_yearly!$D:$AM, 13, FALSE) / VLOOKUP("transport|SO2|Infant mortality", US_national_yearly!$D:$AM, 10, FALSE), 1)</f>
        <v>3.4534314895346516E-7</v>
      </c>
      <c r="F3" s="7">
        <f>$B3 * IFERROR(VLOOKUP("transport|SO2|Infant mortality", US_national_yearly!$D:$AM, 14, FALSE) / VLOOKUP("transport|SO2|Infant mortality", US_national_yearly!$D:$AM, 10, FALSE), 1)</f>
        <v>3.4229811614979728E-7</v>
      </c>
      <c r="G3" s="7">
        <f>$B3 * IFERROR(VLOOKUP("transport|SO2|Infant mortality", US_national_yearly!$D:$AM, 15, FALSE) / VLOOKUP("transport|SO2|Infant mortality", US_national_yearly!$D:$AM, 10, FALSE), 1)</f>
        <v>2.2799811458710725E-7</v>
      </c>
      <c r="H3" s="7">
        <f>$B3 * IFERROR(VLOOKUP("transport|SO2|Infant mortality", US_national_yearly!$D:$AM, 16, FALSE) / VLOOKUP("transport|SO2|Infant mortality", US_national_yearly!$D:$AM, 10, FALSE), 1)</f>
        <v>1.1369811302441736E-7</v>
      </c>
      <c r="I3" s="7">
        <f>$B3 * IFERROR(VLOOKUP("transport|SO2|Infant mortality", US_national_yearly!$D:$AM, 17, FALSE) / VLOOKUP("transport|SO2|Infant mortality", US_national_yearly!$D:$AM, 10, FALSE), 1)</f>
        <v>1.1298485042753287E-7</v>
      </c>
      <c r="J3" s="7">
        <f>$B3 * IFERROR(VLOOKUP("transport|SO2|Infant mortality", US_national_yearly!$D:$AM, 18, FALSE) / VLOOKUP("transport|SO2|Infant mortality", US_national_yearly!$D:$AM, 10, FALSE), 1)</f>
        <v>1.1227158783064839E-7</v>
      </c>
      <c r="K3" s="7">
        <f>$B3 * IFERROR(VLOOKUP("transport|SO2|Infant mortality", US_national_yearly!$D:$AM, 19, FALSE) / VLOOKUP("transport|SO2|Infant mortality", US_national_yearly!$D:$AM, 10, FALSE), 1)</f>
        <v>1.115583252337639E-7</v>
      </c>
      <c r="L3" s="7">
        <f>$B3 * IFERROR(VLOOKUP("transport|SO2|Infant mortality", US_national_yearly!$D:$AM, 20, FALSE) / VLOOKUP("transport|SO2|Infant mortality", US_national_yearly!$D:$AM, 10, FALSE), 1)</f>
        <v>1.1084506263687944E-7</v>
      </c>
      <c r="M3" s="7">
        <f>$B3 * IFERROR(VLOOKUP("transport|SO2|Infant mortality", US_national_yearly!$D:$AM, 21, FALSE) / VLOOKUP("transport|SO2|Infant mortality", US_national_yearly!$D:$AM, 10, FALSE), 1)</f>
        <v>1.1013180003999495E-7</v>
      </c>
      <c r="N3" s="7">
        <f>$B3 * IFERROR(VLOOKUP("transport|SO2|Infant mortality", US_national_yearly!$D:$AM, 22, FALSE) / VLOOKUP("transport|SO2|Infant mortality", US_national_yearly!$D:$AM, 10, FALSE), 1)</f>
        <v>1.096840904478867E-7</v>
      </c>
      <c r="O3" s="7">
        <f>$B3 * IFERROR(VLOOKUP("transport|SO2|Infant mortality", US_national_yearly!$D:$AM, 23, FALSE) / VLOOKUP("transport|SO2|Infant mortality", US_national_yearly!$D:$AM, 10, FALSE), 1)</f>
        <v>1.0923638085577846E-7</v>
      </c>
      <c r="P3" s="7">
        <f>$B3 * IFERROR(VLOOKUP("transport|SO2|Infant mortality", US_national_yearly!$D:$AM, 24, FALSE) / VLOOKUP("transport|SO2|Infant mortality", US_national_yearly!$D:$AM, 10, FALSE), 1)</f>
        <v>1.0878867126367019E-7</v>
      </c>
      <c r="Q3" s="7">
        <f>$B3 * IFERROR(VLOOKUP("transport|SO2|Infant mortality", US_national_yearly!$D:$AM, 25, FALSE) / VLOOKUP("transport|SO2|Infant mortality", US_national_yearly!$D:$AM, 10, FALSE), 1)</f>
        <v>1.0834096167156194E-7</v>
      </c>
      <c r="R3" s="7">
        <f>$B3 * IFERROR(VLOOKUP("transport|SO2|Infant mortality", US_national_yearly!$D:$AM, 26, FALSE) / VLOOKUP("transport|SO2|Infant mortality", US_national_yearly!$D:$AM, 10, FALSE), 1)</f>
        <v>1.0789325207945368E-7</v>
      </c>
      <c r="S3" s="7">
        <f>$B3 * IFERROR(VLOOKUP("transport|SO2|Infant mortality", US_national_yearly!$D:$AM, 27, FALSE) / VLOOKUP("transport|SO2|Infant mortality", US_national_yearly!$D:$AM, 10, FALSE), 1)</f>
        <v>1.0733112541150957E-7</v>
      </c>
      <c r="T3" s="7">
        <f>$B3 * IFERROR(VLOOKUP("transport|SO2|Infant mortality", US_national_yearly!$D:$AM, 28, FALSE) / VLOOKUP("transport|SO2|Infant mortality", US_national_yearly!$D:$AM, 10, FALSE), 1)</f>
        <v>1.0676899874356546E-7</v>
      </c>
      <c r="U3" s="7">
        <f>$B3 * IFERROR(VLOOKUP("transport|SO2|Infant mortality", US_national_yearly!$D:$AM, 29, FALSE) / VLOOKUP("transport|SO2|Infant mortality", US_national_yearly!$D:$AM, 10, FALSE), 1)</f>
        <v>1.0620687207562132E-7</v>
      </c>
      <c r="V3" s="7">
        <f>$B3 * IFERROR(VLOOKUP("transport|SO2|Infant mortality", US_national_yearly!$D:$AM, 30, FALSE) / VLOOKUP("transport|SO2|Infant mortality", US_national_yearly!$D:$AM, 10, FALSE), 1)</f>
        <v>1.0564474540767723E-7</v>
      </c>
      <c r="W3" s="7">
        <f>$B3 * IFERROR(VLOOKUP("transport|SO2|Infant mortality", US_national_yearly!$D:$AM, 31, FALSE) / VLOOKUP("transport|SO2|Infant mortality", US_national_yearly!$D:$AM, 10, FALSE), 1)</f>
        <v>1.0508261873973311E-7</v>
      </c>
      <c r="X3" s="7">
        <f>$B3 * IFERROR(VLOOKUP("transport|SO2|Infant mortality", US_national_yearly!$D:$AM, 32, FALSE) / VLOOKUP("transport|SO2|Infant mortality", US_national_yearly!$D:$AM, 10, FALSE), 1)</f>
        <v>1.04468040778867E-7</v>
      </c>
      <c r="Y3" s="7">
        <f>$B3 * IFERROR(VLOOKUP("transport|SO2|Infant mortality", US_national_yearly!$D:$AM, 33, FALSE) / VLOOKUP("transport|SO2|Infant mortality", US_national_yearly!$D:$AM, 10, FALSE), 1)</f>
        <v>1.0385346281800085E-7</v>
      </c>
      <c r="Z3" s="7">
        <f>$B3 * IFERROR(VLOOKUP("transport|SO2|Infant mortality", US_national_yearly!$D:$AM, 34, FALSE) / VLOOKUP("transport|SO2|Infant mortality", US_national_yearly!$D:$AM, 10, FALSE), 1)</f>
        <v>1.0323888485713473E-7</v>
      </c>
      <c r="AA3" s="7">
        <f>$B3 * IFERROR(VLOOKUP("transport|SO2|Infant mortality", US_national_yearly!$D:$AM, 35, FALSE) / VLOOKUP("transport|SO2|Infant mortality", US_national_yearly!$D:$AM, 10, FALSE), 1)</f>
        <v>1.0262430689626858E-7</v>
      </c>
      <c r="AB3" s="7">
        <f>$B3 * IFERROR(VLOOKUP("transport|SO2|Infant mortality", US_national_yearly!$D:$AM, 36, FALSE) / VLOOKUP("transport|SO2|Infant mortality", US_national_yearly!$D:$AM, 10, FALSE), 1)</f>
        <v>1.0200972893540247E-7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4.1478904398762126E-4</v>
      </c>
      <c r="C6" s="7">
        <f>$B6 * IFERROR(VLOOKUP("transport|SO2|Asthma symptoms cough", US_national_yearly!$D:$AM, 11, FALSE) / VLOOKUP("transport|SO2|Asthma symptoms cough", US_national_yearly!$D:$AM, 10, FALSE), 1)</f>
        <v>4.1478904398762126E-4</v>
      </c>
      <c r="D6" s="7">
        <f>$B6 * IFERROR(VLOOKUP("transport|SO2|Asthma symptoms cough", US_national_yearly!$D:$AM, 12, FALSE) / VLOOKUP("transport|SO2|Asthma symptoms cough", US_national_yearly!$D:$AM, 10, FALSE), 1)</f>
        <v>4.1478904398762126E-4</v>
      </c>
      <c r="E6" s="7">
        <f>$B6 * IFERROR(VLOOKUP("transport|SO2|Asthma symptoms cough", US_national_yearly!$D:$AM, 13, FALSE) / VLOOKUP("transport|SO2|Asthma symptoms cough", US_national_yearly!$D:$AM, 10, FALSE), 1)</f>
        <v>4.1478904398762126E-4</v>
      </c>
      <c r="F6" s="7">
        <f>$B6 * IFERROR(VLOOKUP("transport|SO2|Asthma symptoms cough", US_national_yearly!$D:$AM, 14, FALSE) / VLOOKUP("transport|SO2|Asthma symptoms cough", US_national_yearly!$D:$AM, 10, FALSE), 1)</f>
        <v>4.1478904398762126E-4</v>
      </c>
      <c r="G6" s="7">
        <f>$B6 * IFERROR(VLOOKUP("transport|SO2|Asthma symptoms cough", US_national_yearly!$D:$AM, 15, FALSE) / VLOOKUP("transport|SO2|Asthma symptoms cough", US_national_yearly!$D:$AM, 10, FALSE), 1)</f>
        <v>4.1478904398762126E-4</v>
      </c>
      <c r="H6" s="7">
        <f>$B6 * IFERROR(VLOOKUP("transport|SO2|Asthma symptoms cough", US_national_yearly!$D:$AM, 16, FALSE) / VLOOKUP("transport|SO2|Asthma symptoms cough", US_national_yearly!$D:$AM, 10, FALSE), 1)</f>
        <v>4.1478904398762126E-4</v>
      </c>
      <c r="I6" s="7">
        <f>$B6 * IFERROR(VLOOKUP("transport|SO2|Asthma symptoms cough", US_national_yearly!$D:$AM, 17, FALSE) / VLOOKUP("transport|SO2|Asthma symptoms cough", US_national_yearly!$D:$AM, 10, FALSE), 1)</f>
        <v>4.1478904398762126E-4</v>
      </c>
      <c r="J6" s="7">
        <f>$B6 * IFERROR(VLOOKUP("transport|SO2|Asthma symptoms cough", US_national_yearly!$D:$AM, 18, FALSE) / VLOOKUP("transport|SO2|Asthma symptoms cough", US_national_yearly!$D:$AM, 10, FALSE), 1)</f>
        <v>4.1478904398762126E-4</v>
      </c>
      <c r="K6" s="7">
        <f>$B6 * IFERROR(VLOOKUP("transport|SO2|Asthma symptoms cough", US_national_yearly!$D:$AM, 19, FALSE) / VLOOKUP("transport|SO2|Asthma symptoms cough", US_national_yearly!$D:$AM, 10, FALSE), 1)</f>
        <v>4.1478904398762126E-4</v>
      </c>
      <c r="L6" s="7">
        <f>$B6 * IFERROR(VLOOKUP("transport|SO2|Asthma symptoms cough", US_national_yearly!$D:$AM, 20, FALSE) / VLOOKUP("transport|SO2|Asthma symptoms cough", US_national_yearly!$D:$AM, 10, FALSE), 1)</f>
        <v>4.1478904398762126E-4</v>
      </c>
      <c r="M6" s="7">
        <f>$B6 * IFERROR(VLOOKUP("transport|SO2|Asthma symptoms cough", US_national_yearly!$D:$AM, 21, FALSE) / VLOOKUP("transport|SO2|Asthma symptoms cough", US_national_yearly!$D:$AM, 10, FALSE), 1)</f>
        <v>4.1478904398762126E-4</v>
      </c>
      <c r="N6" s="7">
        <f>$B6 * IFERROR(VLOOKUP("transport|SO2|Asthma symptoms cough", US_national_yearly!$D:$AM, 22, FALSE) / VLOOKUP("transport|SO2|Asthma symptoms cough", US_national_yearly!$D:$AM, 10, FALSE), 1)</f>
        <v>4.1478904398762126E-4</v>
      </c>
      <c r="O6" s="7">
        <f>$B6 * IFERROR(VLOOKUP("transport|SO2|Asthma symptoms cough", US_national_yearly!$D:$AM, 23, FALSE) / VLOOKUP("transport|SO2|Asthma symptoms cough", US_national_yearly!$D:$AM, 10, FALSE), 1)</f>
        <v>4.1478904398762126E-4</v>
      </c>
      <c r="P6" s="7">
        <f>$B6 * IFERROR(VLOOKUP("transport|SO2|Asthma symptoms cough", US_national_yearly!$D:$AM, 24, FALSE) / VLOOKUP("transport|SO2|Asthma symptoms cough", US_national_yearly!$D:$AM, 10, FALSE), 1)</f>
        <v>4.1478904398762126E-4</v>
      </c>
      <c r="Q6" s="7">
        <f>$B6 * IFERROR(VLOOKUP("transport|SO2|Asthma symptoms cough", US_national_yearly!$D:$AM, 25, FALSE) / VLOOKUP("transport|SO2|Asthma symptoms cough", US_national_yearly!$D:$AM, 10, FALSE), 1)</f>
        <v>4.1478904398762126E-4</v>
      </c>
      <c r="R6" s="7">
        <f>$B6 * IFERROR(VLOOKUP("transport|SO2|Asthma symptoms cough", US_national_yearly!$D:$AM, 26, FALSE) / VLOOKUP("transport|SO2|Asthma symptoms cough", US_national_yearly!$D:$AM, 10, FALSE), 1)</f>
        <v>4.1478904398762126E-4</v>
      </c>
      <c r="S6" s="7">
        <f>$B6 * IFERROR(VLOOKUP("transport|SO2|Asthma symptoms cough", US_national_yearly!$D:$AM, 27, FALSE) / VLOOKUP("transport|SO2|Asthma symptoms cough", US_national_yearly!$D:$AM, 10, FALSE), 1)</f>
        <v>4.1478904398762126E-4</v>
      </c>
      <c r="T6" s="7">
        <f>$B6 * IFERROR(VLOOKUP("transport|SO2|Asthma symptoms cough", US_national_yearly!$D:$AM, 28, FALSE) / VLOOKUP("transport|SO2|Asthma symptoms cough", US_national_yearly!$D:$AM, 10, FALSE), 1)</f>
        <v>4.1478904398762126E-4</v>
      </c>
      <c r="U6" s="7">
        <f>$B6 * IFERROR(VLOOKUP("transport|SO2|Asthma symptoms cough", US_national_yearly!$D:$AM, 29, FALSE) / VLOOKUP("transport|SO2|Asthma symptoms cough", US_national_yearly!$D:$AM, 10, FALSE), 1)</f>
        <v>4.1478904398762126E-4</v>
      </c>
      <c r="V6" s="7">
        <f>$B6 * IFERROR(VLOOKUP("transport|SO2|Asthma symptoms cough", US_national_yearly!$D:$AM, 30, FALSE) / VLOOKUP("transport|SO2|Asthma symptoms cough", US_national_yearly!$D:$AM, 10, FALSE), 1)</f>
        <v>4.1478904398762126E-4</v>
      </c>
      <c r="W6" s="7">
        <f>$B6 * IFERROR(VLOOKUP("transport|SO2|Asthma symptoms cough", US_national_yearly!$D:$AM, 31, FALSE) / VLOOKUP("transport|SO2|Asthma symptoms cough", US_national_yearly!$D:$AM, 10, FALSE), 1)</f>
        <v>4.1478904398762126E-4</v>
      </c>
      <c r="X6" s="7">
        <f>$B6 * IFERROR(VLOOKUP("transport|SO2|Asthma symptoms cough", US_national_yearly!$D:$AM, 32, FALSE) / VLOOKUP("transport|SO2|Asthma symptoms cough", US_national_yearly!$D:$AM, 10, FALSE), 1)</f>
        <v>4.1478904398762126E-4</v>
      </c>
      <c r="Y6" s="7">
        <f>$B6 * IFERROR(VLOOKUP("transport|SO2|Asthma symptoms cough", US_national_yearly!$D:$AM, 33, FALSE) / VLOOKUP("transport|SO2|Asthma symptoms cough", US_national_yearly!$D:$AM, 10, FALSE), 1)</f>
        <v>4.1478904398762126E-4</v>
      </c>
      <c r="Z6" s="7">
        <f>$B6 * IFERROR(VLOOKUP("transport|SO2|Asthma symptoms cough", US_national_yearly!$D:$AM, 34, FALSE) / VLOOKUP("transport|SO2|Asthma symptoms cough", US_national_yearly!$D:$AM, 10, FALSE), 1)</f>
        <v>4.1478904398762126E-4</v>
      </c>
      <c r="AA6" s="7">
        <f>$B6 * IFERROR(VLOOKUP("transport|SO2|Asthma symptoms cough", US_national_yearly!$D:$AM, 35, FALSE) / VLOOKUP("transport|SO2|Asthma symptoms cough", US_national_yearly!$D:$AM, 10, FALSE), 1)</f>
        <v>4.1478904398762126E-4</v>
      </c>
      <c r="AB6" s="7">
        <f>$B6 * IFERROR(VLOOKUP("transport|SO2|Asthma symptoms cough", US_national_yearly!$D:$AM, 36, FALSE) / VLOOKUP("transport|SO2|Asthma symptoms cough", US_national_yearly!$D:$AM, 10, FALSE), 1)</f>
        <v>4.1478904398762126E-4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5.5857435974479813E-4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5.5857435974479813E-4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5.5857435974479813E-4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5.5857435974479813E-4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5.5857435974479813E-4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5.5857435974479813E-4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5.5857435974479813E-4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5.5857435974479813E-4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5.5857435974479813E-4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5.5857435974479813E-4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5.5857435974479813E-4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5.5857435974479813E-4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5.5857435974479813E-4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5.5857435974479813E-4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5.5857435974479813E-4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5.5857435974479813E-4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5.5857435974479813E-4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5.5857435974479813E-4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5.5857435974479813E-4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5.5857435974479813E-4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5.5857435974479813E-4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5.5857435974479813E-4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5.5857435974479813E-4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5.5857435974479813E-4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5.5857435974479813E-4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5.5857435974479813E-4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5.5857435974479813E-4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8.5340445290905259E-4</v>
      </c>
      <c r="C8" s="7">
        <f>$B8 * IFERROR(VLOOKUP("transport|SO2|Asthma symptoms wheeze", US_national_yearly!$D:$AM, 11, FALSE) / VLOOKUP("transport|SO2|Asthma symptoms wheeze", US_national_yearly!$D:$AM, 10, FALSE), 1)</f>
        <v>8.5340445290905259E-4</v>
      </c>
      <c r="D8" s="7">
        <f>$B8 * IFERROR(VLOOKUP("transport|SO2|Asthma symptoms wheeze", US_national_yearly!$D:$AM, 12, FALSE) / VLOOKUP("transport|SO2|Asthma symptoms wheeze", US_national_yearly!$D:$AM, 10, FALSE), 1)</f>
        <v>8.5340445290905259E-4</v>
      </c>
      <c r="E8" s="7">
        <f>$B8 * IFERROR(VLOOKUP("transport|SO2|Asthma symptoms wheeze", US_national_yearly!$D:$AM, 13, FALSE) / VLOOKUP("transport|SO2|Asthma symptoms wheeze", US_national_yearly!$D:$AM, 10, FALSE), 1)</f>
        <v>8.5340445290905259E-4</v>
      </c>
      <c r="F8" s="7">
        <f>$B8 * IFERROR(VLOOKUP("transport|SO2|Asthma symptoms wheeze", US_national_yearly!$D:$AM, 14, FALSE) / VLOOKUP("transport|SO2|Asthma symptoms wheeze", US_national_yearly!$D:$AM, 10, FALSE), 1)</f>
        <v>8.5340445290905259E-4</v>
      </c>
      <c r="G8" s="7">
        <f>$B8 * IFERROR(VLOOKUP("transport|SO2|Asthma symptoms wheeze", US_national_yearly!$D:$AM, 15, FALSE) / VLOOKUP("transport|SO2|Asthma symptoms wheeze", US_national_yearly!$D:$AM, 10, FALSE), 1)</f>
        <v>8.5340445290905259E-4</v>
      </c>
      <c r="H8" s="7">
        <f>$B8 * IFERROR(VLOOKUP("transport|SO2|Asthma symptoms wheeze", US_national_yearly!$D:$AM, 16, FALSE) / VLOOKUP("transport|SO2|Asthma symptoms wheeze", US_national_yearly!$D:$AM, 10, FALSE), 1)</f>
        <v>8.5340445290905259E-4</v>
      </c>
      <c r="I8" s="7">
        <f>$B8 * IFERROR(VLOOKUP("transport|SO2|Asthma symptoms wheeze", US_national_yearly!$D:$AM, 17, FALSE) / VLOOKUP("transport|SO2|Asthma symptoms wheeze", US_national_yearly!$D:$AM, 10, FALSE), 1)</f>
        <v>8.5340445290905259E-4</v>
      </c>
      <c r="J8" s="7">
        <f>$B8 * IFERROR(VLOOKUP("transport|SO2|Asthma symptoms wheeze", US_national_yearly!$D:$AM, 18, FALSE) / VLOOKUP("transport|SO2|Asthma symptoms wheeze", US_national_yearly!$D:$AM, 10, FALSE), 1)</f>
        <v>8.5340445290905259E-4</v>
      </c>
      <c r="K8" s="7">
        <f>$B8 * IFERROR(VLOOKUP("transport|SO2|Asthma symptoms wheeze", US_national_yearly!$D:$AM, 19, FALSE) / VLOOKUP("transport|SO2|Asthma symptoms wheeze", US_national_yearly!$D:$AM, 10, FALSE), 1)</f>
        <v>8.5340445290905259E-4</v>
      </c>
      <c r="L8" s="7">
        <f>$B8 * IFERROR(VLOOKUP("transport|SO2|Asthma symptoms wheeze", US_national_yearly!$D:$AM, 20, FALSE) / VLOOKUP("transport|SO2|Asthma symptoms wheeze", US_national_yearly!$D:$AM, 10, FALSE), 1)</f>
        <v>8.5340445290905259E-4</v>
      </c>
      <c r="M8" s="7">
        <f>$B8 * IFERROR(VLOOKUP("transport|SO2|Asthma symptoms wheeze", US_national_yearly!$D:$AM, 21, FALSE) / VLOOKUP("transport|SO2|Asthma symptoms wheeze", US_national_yearly!$D:$AM, 10, FALSE), 1)</f>
        <v>8.5340445290905259E-4</v>
      </c>
      <c r="N8" s="7">
        <f>$B8 * IFERROR(VLOOKUP("transport|SO2|Asthma symptoms wheeze", US_national_yearly!$D:$AM, 22, FALSE) / VLOOKUP("transport|SO2|Asthma symptoms wheeze", US_national_yearly!$D:$AM, 10, FALSE), 1)</f>
        <v>8.5340445290905259E-4</v>
      </c>
      <c r="O8" s="7">
        <f>$B8 * IFERROR(VLOOKUP("transport|SO2|Asthma symptoms wheeze", US_national_yearly!$D:$AM, 23, FALSE) / VLOOKUP("transport|SO2|Asthma symptoms wheeze", US_national_yearly!$D:$AM, 10, FALSE), 1)</f>
        <v>8.5340445290905259E-4</v>
      </c>
      <c r="P8" s="7">
        <f>$B8 * IFERROR(VLOOKUP("transport|SO2|Asthma symptoms wheeze", US_national_yearly!$D:$AM, 24, FALSE) / VLOOKUP("transport|SO2|Asthma symptoms wheeze", US_national_yearly!$D:$AM, 10, FALSE), 1)</f>
        <v>8.5340445290905259E-4</v>
      </c>
      <c r="Q8" s="7">
        <f>$B8 * IFERROR(VLOOKUP("transport|SO2|Asthma symptoms wheeze", US_national_yearly!$D:$AM, 25, FALSE) / VLOOKUP("transport|SO2|Asthma symptoms wheeze", US_national_yearly!$D:$AM, 10, FALSE), 1)</f>
        <v>8.5340445290905259E-4</v>
      </c>
      <c r="R8" s="7">
        <f>$B8 * IFERROR(VLOOKUP("transport|SO2|Asthma symptoms wheeze", US_national_yearly!$D:$AM, 26, FALSE) / VLOOKUP("transport|SO2|Asthma symptoms wheeze", US_national_yearly!$D:$AM, 10, FALSE), 1)</f>
        <v>8.5340445290905259E-4</v>
      </c>
      <c r="S8" s="7">
        <f>$B8 * IFERROR(VLOOKUP("transport|SO2|Asthma symptoms wheeze", US_national_yearly!$D:$AM, 27, FALSE) / VLOOKUP("transport|SO2|Asthma symptoms wheeze", US_national_yearly!$D:$AM, 10, FALSE), 1)</f>
        <v>8.5340445290905259E-4</v>
      </c>
      <c r="T8" s="7">
        <f>$B8 * IFERROR(VLOOKUP("transport|SO2|Asthma symptoms wheeze", US_national_yearly!$D:$AM, 28, FALSE) / VLOOKUP("transport|SO2|Asthma symptoms wheeze", US_national_yearly!$D:$AM, 10, FALSE), 1)</f>
        <v>8.5340445290905259E-4</v>
      </c>
      <c r="U8" s="7">
        <f>$B8 * IFERROR(VLOOKUP("transport|SO2|Asthma symptoms wheeze", US_national_yearly!$D:$AM, 29, FALSE) / VLOOKUP("transport|SO2|Asthma symptoms wheeze", US_national_yearly!$D:$AM, 10, FALSE), 1)</f>
        <v>8.5340445290905259E-4</v>
      </c>
      <c r="V8" s="7">
        <f>$B8 * IFERROR(VLOOKUP("transport|SO2|Asthma symptoms wheeze", US_national_yearly!$D:$AM, 30, FALSE) / VLOOKUP("transport|SO2|Asthma symptoms wheeze", US_national_yearly!$D:$AM, 10, FALSE), 1)</f>
        <v>8.5340445290905259E-4</v>
      </c>
      <c r="W8" s="7">
        <f>$B8 * IFERROR(VLOOKUP("transport|SO2|Asthma symptoms wheeze", US_national_yearly!$D:$AM, 31, FALSE) / VLOOKUP("transport|SO2|Asthma symptoms wheeze", US_national_yearly!$D:$AM, 10, FALSE), 1)</f>
        <v>8.5340445290905259E-4</v>
      </c>
      <c r="X8" s="7">
        <f>$B8 * IFERROR(VLOOKUP("transport|SO2|Asthma symptoms wheeze", US_national_yearly!$D:$AM, 32, FALSE) / VLOOKUP("transport|SO2|Asthma symptoms wheeze", US_national_yearly!$D:$AM, 10, FALSE), 1)</f>
        <v>8.5340445290905259E-4</v>
      </c>
      <c r="Y8" s="7">
        <f>$B8 * IFERROR(VLOOKUP("transport|SO2|Asthma symptoms wheeze", US_national_yearly!$D:$AM, 33, FALSE) / VLOOKUP("transport|SO2|Asthma symptoms wheeze", US_national_yearly!$D:$AM, 10, FALSE), 1)</f>
        <v>8.5340445290905259E-4</v>
      </c>
      <c r="Z8" s="7">
        <f>$B8 * IFERROR(VLOOKUP("transport|SO2|Asthma symptoms wheeze", US_national_yearly!$D:$AM, 34, FALSE) / VLOOKUP("transport|SO2|Asthma symptoms wheeze", US_national_yearly!$D:$AM, 10, FALSE), 1)</f>
        <v>8.5340445290905259E-4</v>
      </c>
      <c r="AA8" s="7">
        <f>$B8 * IFERROR(VLOOKUP("transport|SO2|Asthma symptoms wheeze", US_national_yearly!$D:$AM, 35, FALSE) / VLOOKUP("transport|SO2|Asthma symptoms wheeze", US_national_yearly!$D:$AM, 10, FALSE), 1)</f>
        <v>8.5340445290905259E-4</v>
      </c>
      <c r="AB8" s="7">
        <f>$B8 * IFERROR(VLOOKUP("transport|SO2|Asthma symptoms wheeze", US_national_yearly!$D:$AM, 36, FALSE) / VLOOKUP("transport|SO2|Asthma symptoms wheeze", US_national_yearly!$D:$AM, 10, FALSE), 1)</f>
        <v>8.5340445290905259E-4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1.0213322167708354E-5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1.0273560849403516E-5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1.0333799531098679E-5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1.0394038212793841E-5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1.0454276894489003E-5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1.0519947218055093E-5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1.0585617541621183E-5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1.0650376299637322E-5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1.0715135057653463E-5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1.07798938156696E-5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1.084465257368574E-5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1.0909411331701876E-5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1.0956683226041613E-5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1.1003955120381346E-5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1.1051227014721079E-5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1.1098498909060814E-5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1.1145770803400548E-5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1.1190864583653336E-5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1.1235958363906122E-5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1.128105214415891E-5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1.1326145924411699E-5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1.1371239704664487E-5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1.1414026298605496E-5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1.1456812892546504E-5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1.1499599486487513E-5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1.1542386080428521E-5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1.1585172674369532E-5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4.8578673418262107E-5</v>
      </c>
      <c r="C13" s="7">
        <f>$B13 * IFERROR(VLOOKUP("transport|SO2|Non-fatal heart attacks", US_national_yearly!$D:$AM, 11, FALSE) / VLOOKUP("transport|SO2|Non-fatal heart attacks", US_national_yearly!$D:$AM, 10, FALSE), 1)</f>
        <v>5.0004766822405681E-5</v>
      </c>
      <c r="D13" s="7">
        <f>$B13 * IFERROR(VLOOKUP("transport|SO2|Non-fatal heart attacks", US_national_yearly!$D:$AM, 12, FALSE) / VLOOKUP("transport|SO2|Non-fatal heart attacks", US_national_yearly!$D:$AM, 10, FALSE), 1)</f>
        <v>5.1430860226549255E-5</v>
      </c>
      <c r="E13" s="7">
        <f>$B13 * IFERROR(VLOOKUP("transport|SO2|Non-fatal heart attacks", US_national_yearly!$D:$AM, 13, FALSE) / VLOOKUP("transport|SO2|Non-fatal heart attacks", US_national_yearly!$D:$AM, 10, FALSE), 1)</f>
        <v>5.2856953630692822E-5</v>
      </c>
      <c r="F13" s="7">
        <f>$B13 * IFERROR(VLOOKUP("transport|SO2|Non-fatal heart attacks", US_national_yearly!$D:$AM, 14, FALSE) / VLOOKUP("transport|SO2|Non-fatal heart attacks", US_national_yearly!$D:$AM, 10, FALSE), 1)</f>
        <v>5.4283047034836389E-5</v>
      </c>
      <c r="G13" s="7">
        <f>$B13 * IFERROR(VLOOKUP("transport|SO2|Non-fatal heart attacks", US_national_yearly!$D:$AM, 15, FALSE) / VLOOKUP("transport|SO2|Non-fatal heart attacks", US_national_yearly!$D:$AM, 10, FALSE), 1)</f>
        <v>5.5627985393187865E-5</v>
      </c>
      <c r="H13" s="7">
        <f>$B13 * IFERROR(VLOOKUP("transport|SO2|Non-fatal heart attacks", US_national_yearly!$D:$AM, 16, FALSE) / VLOOKUP("transport|SO2|Non-fatal heart attacks", US_national_yearly!$D:$AM, 10, FALSE), 1)</f>
        <v>5.6972923751539348E-5</v>
      </c>
      <c r="I13" s="7">
        <f>$B13 * IFERROR(VLOOKUP("transport|SO2|Non-fatal heart attacks", US_national_yearly!$D:$AM, 17, FALSE) / VLOOKUP("transport|SO2|Non-fatal heart attacks", US_national_yearly!$D:$AM, 10, FALSE), 1)</f>
        <v>5.8055177511336406E-5</v>
      </c>
      <c r="J13" s="7">
        <f>$B13 * IFERROR(VLOOKUP("transport|SO2|Non-fatal heart attacks", US_national_yearly!$D:$AM, 18, FALSE) / VLOOKUP("transport|SO2|Non-fatal heart attacks", US_national_yearly!$D:$AM, 10, FALSE), 1)</f>
        <v>5.9137431271133477E-5</v>
      </c>
      <c r="K13" s="7">
        <f>$B13 * IFERROR(VLOOKUP("transport|SO2|Non-fatal heart attacks", US_national_yearly!$D:$AM, 19, FALSE) / VLOOKUP("transport|SO2|Non-fatal heart attacks", US_national_yearly!$D:$AM, 10, FALSE), 1)</f>
        <v>6.0219685030930527E-5</v>
      </c>
      <c r="L13" s="7">
        <f>$B13 * IFERROR(VLOOKUP("transport|SO2|Non-fatal heart attacks", US_national_yearly!$D:$AM, 20, FALSE) / VLOOKUP("transport|SO2|Non-fatal heart attacks", US_national_yearly!$D:$AM, 10, FALSE), 1)</f>
        <v>6.1301938790727612E-5</v>
      </c>
      <c r="M13" s="7">
        <f>$B13 * IFERROR(VLOOKUP("transport|SO2|Non-fatal heart attacks", US_national_yearly!$D:$AM, 21, FALSE) / VLOOKUP("transport|SO2|Non-fatal heart attacks", US_national_yearly!$D:$AM, 10, FALSE), 1)</f>
        <v>6.2384192550524683E-5</v>
      </c>
      <c r="N13" s="7">
        <f>$B13 * IFERROR(VLOOKUP("transport|SO2|Non-fatal heart attacks", US_national_yearly!$D:$AM, 22, FALSE) / VLOOKUP("transport|SO2|Non-fatal heart attacks", US_national_yearly!$D:$AM, 10, FALSE), 1)</f>
        <v>6.3086912992121085E-5</v>
      </c>
      <c r="O13" s="7">
        <f>$B13 * IFERROR(VLOOKUP("transport|SO2|Non-fatal heart attacks", US_national_yearly!$D:$AM, 23, FALSE) / VLOOKUP("transport|SO2|Non-fatal heart attacks", US_national_yearly!$D:$AM, 10, FALSE), 1)</f>
        <v>6.3789633433717529E-5</v>
      </c>
      <c r="P13" s="7">
        <f>$B13 * IFERROR(VLOOKUP("transport|SO2|Non-fatal heart attacks", US_national_yearly!$D:$AM, 24, FALSE) / VLOOKUP("transport|SO2|Non-fatal heart attacks", US_national_yearly!$D:$AM, 10, FALSE), 1)</f>
        <v>6.4492353875313959E-5</v>
      </c>
      <c r="Q13" s="7">
        <f>$B13 * IFERROR(VLOOKUP("transport|SO2|Non-fatal heart attacks", US_national_yearly!$D:$AM, 25, FALSE) / VLOOKUP("transport|SO2|Non-fatal heart attacks", US_national_yearly!$D:$AM, 10, FALSE), 1)</f>
        <v>6.5195074316910388E-5</v>
      </c>
      <c r="R13" s="7">
        <f>$B13 * IFERROR(VLOOKUP("transport|SO2|Non-fatal heart attacks", US_national_yearly!$D:$AM, 26, FALSE) / VLOOKUP("transport|SO2|Non-fatal heart attacks", US_national_yearly!$D:$AM, 10, FALSE), 1)</f>
        <v>6.5897794758506818E-5</v>
      </c>
      <c r="S13" s="7">
        <f>$B13 * IFERROR(VLOOKUP("transport|SO2|Non-fatal heart attacks", US_national_yearly!$D:$AM, 27, FALSE) / VLOOKUP("transport|SO2|Non-fatal heart attacks", US_national_yearly!$D:$AM, 10, FALSE), 1)</f>
        <v>6.626468114841007E-5</v>
      </c>
      <c r="T13" s="7">
        <f>$B13 * IFERROR(VLOOKUP("transport|SO2|Non-fatal heart attacks", US_national_yearly!$D:$AM, 28, FALSE) / VLOOKUP("transport|SO2|Non-fatal heart attacks", US_national_yearly!$D:$AM, 10, FALSE), 1)</f>
        <v>6.6631567538313321E-5</v>
      </c>
      <c r="U13" s="7">
        <f>$B13 * IFERROR(VLOOKUP("transport|SO2|Non-fatal heart attacks", US_national_yearly!$D:$AM, 29, FALSE) / VLOOKUP("transport|SO2|Non-fatal heart attacks", US_national_yearly!$D:$AM, 10, FALSE), 1)</f>
        <v>6.6998453928216573E-5</v>
      </c>
      <c r="V13" s="7">
        <f>$B13 * IFERROR(VLOOKUP("transport|SO2|Non-fatal heart attacks", US_national_yearly!$D:$AM, 30, FALSE) / VLOOKUP("transport|SO2|Non-fatal heart attacks", US_national_yearly!$D:$AM, 10, FALSE), 1)</f>
        <v>6.7365340318119811E-5</v>
      </c>
      <c r="W13" s="7">
        <f>$B13 * IFERROR(VLOOKUP("transport|SO2|Non-fatal heart attacks", US_national_yearly!$D:$AM, 31, FALSE) / VLOOKUP("transport|SO2|Non-fatal heart attacks", US_national_yearly!$D:$AM, 10, FALSE), 1)</f>
        <v>6.773222670802309E-5</v>
      </c>
      <c r="X13" s="7">
        <f>$B13 * IFERROR(VLOOKUP("transport|SO2|Non-fatal heart attacks", US_national_yearly!$D:$AM, 32, FALSE) / VLOOKUP("transport|SO2|Non-fatal heart attacks", US_national_yearly!$D:$AM, 10, FALSE), 1)</f>
        <v>6.8009193839434567E-5</v>
      </c>
      <c r="Y13" s="7">
        <f>$B13 * IFERROR(VLOOKUP("transport|SO2|Non-fatal heart attacks", US_national_yearly!$D:$AM, 33, FALSE) / VLOOKUP("transport|SO2|Non-fatal heart attacks", US_national_yearly!$D:$AM, 10, FALSE), 1)</f>
        <v>6.8286160970846044E-5</v>
      </c>
      <c r="Z13" s="7">
        <f>$B13 * IFERROR(VLOOKUP("transport|SO2|Non-fatal heart attacks", US_national_yearly!$D:$AM, 34, FALSE) / VLOOKUP("transport|SO2|Non-fatal heart attacks", US_national_yearly!$D:$AM, 10, FALSE), 1)</f>
        <v>6.8563128102257535E-5</v>
      </c>
      <c r="AA13" s="7">
        <f>$B13 * IFERROR(VLOOKUP("transport|SO2|Non-fatal heart attacks", US_national_yearly!$D:$AM, 35, FALSE) / VLOOKUP("transport|SO2|Non-fatal heart attacks", US_national_yearly!$D:$AM, 10, FALSE), 1)</f>
        <v>6.8840095233669012E-5</v>
      </c>
      <c r="AB13" s="7">
        <f>$B13 * IFERROR(VLOOKUP("transport|SO2|Non-fatal heart attacks", US_national_yearly!$D:$AM, 36, FALSE) / VLOOKUP("transport|SO2|Non-fatal heart attacks", US_national_yearly!$D:$AM, 10, FALSE), 1)</f>
        <v>6.9117062365080503E-5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4.778522599546374E-2</v>
      </c>
      <c r="C14" s="7">
        <f>$B14 * IFERROR(VLOOKUP("transport|SO2|Minor restricted activity days", US_national_yearly!$D:$AM, 11, FALSE) / VLOOKUP("transport|SO2|Minor restricted activity days", US_national_yearly!$D:$AM, 10, FALSE), 1)</f>
        <v>4.7905676628527877E-2</v>
      </c>
      <c r="D14" s="7">
        <f>$B14 * IFERROR(VLOOKUP("transport|SO2|Minor restricted activity days", US_national_yearly!$D:$AM, 12, FALSE) / VLOOKUP("transport|SO2|Minor restricted activity days", US_national_yearly!$D:$AM, 10, FALSE), 1)</f>
        <v>4.8026127261592007E-2</v>
      </c>
      <c r="E14" s="7">
        <f>$B14 * IFERROR(VLOOKUP("transport|SO2|Minor restricted activity days", US_national_yearly!$D:$AM, 13, FALSE) / VLOOKUP("transport|SO2|Minor restricted activity days", US_national_yearly!$D:$AM, 10, FALSE), 1)</f>
        <v>4.8146577894656144E-2</v>
      </c>
      <c r="F14" s="7">
        <f>$B14 * IFERROR(VLOOKUP("transport|SO2|Minor restricted activity days", US_national_yearly!$D:$AM, 14, FALSE) / VLOOKUP("transport|SO2|Minor restricted activity days", US_national_yearly!$D:$AM, 10, FALSE), 1)</f>
        <v>4.8267028527720274E-2</v>
      </c>
      <c r="G14" s="7">
        <f>$B14 * IFERROR(VLOOKUP("transport|SO2|Minor restricted activity days", US_national_yearly!$D:$AM, 15, FALSE) / VLOOKUP("transport|SO2|Minor restricted activity days", US_national_yearly!$D:$AM, 10, FALSE), 1)</f>
        <v>4.8444320026454407E-2</v>
      </c>
      <c r="H14" s="7">
        <f>$B14 * IFERROR(VLOOKUP("transport|SO2|Minor restricted activity days", US_national_yearly!$D:$AM, 16, FALSE) / VLOOKUP("transport|SO2|Minor restricted activity days", US_national_yearly!$D:$AM, 10, FALSE), 1)</f>
        <v>4.8621611525188548E-2</v>
      </c>
      <c r="I14" s="7">
        <f>$B14 * IFERROR(VLOOKUP("transport|SO2|Minor restricted activity days", US_national_yearly!$D:$AM, 17, FALSE) / VLOOKUP("transport|SO2|Minor restricted activity days", US_national_yearly!$D:$AM, 10, FALSE), 1)</f>
        <v>4.8923965650775753E-2</v>
      </c>
      <c r="J14" s="7">
        <f>$B14 * IFERROR(VLOOKUP("transport|SO2|Minor restricted activity days", US_national_yearly!$D:$AM, 18, FALSE) / VLOOKUP("transport|SO2|Minor restricted activity days", US_national_yearly!$D:$AM, 10, FALSE), 1)</f>
        <v>4.9226319776362958E-2</v>
      </c>
      <c r="K14" s="7">
        <f>$B14 * IFERROR(VLOOKUP("transport|SO2|Minor restricted activity days", US_national_yearly!$D:$AM, 19, FALSE) / VLOOKUP("transport|SO2|Minor restricted activity days", US_national_yearly!$D:$AM, 10, FALSE), 1)</f>
        <v>4.952867390195017E-2</v>
      </c>
      <c r="L14" s="7">
        <f>$B14 * IFERROR(VLOOKUP("transport|SO2|Minor restricted activity days", US_national_yearly!$D:$AM, 20, FALSE) / VLOOKUP("transport|SO2|Minor restricted activity days", US_national_yearly!$D:$AM, 10, FALSE), 1)</f>
        <v>4.9831028027537375E-2</v>
      </c>
      <c r="M14" s="7">
        <f>$B14 * IFERROR(VLOOKUP("transport|SO2|Minor restricted activity days", US_national_yearly!$D:$AM, 21, FALSE) / VLOOKUP("transport|SO2|Minor restricted activity days", US_national_yearly!$D:$AM, 10, FALSE), 1)</f>
        <v>5.013338215312458E-2</v>
      </c>
      <c r="N14" s="7">
        <f>$B14 * IFERROR(VLOOKUP("transport|SO2|Minor restricted activity days", US_national_yearly!$D:$AM, 22, FALSE) / VLOOKUP("transport|SO2|Minor restricted activity days", US_national_yearly!$D:$AM, 10, FALSE), 1)</f>
        <v>5.0546954081493768E-2</v>
      </c>
      <c r="O14" s="7">
        <f>$B14 * IFERROR(VLOOKUP("transport|SO2|Minor restricted activity days", US_national_yearly!$D:$AM, 23, FALSE) / VLOOKUP("transport|SO2|Minor restricted activity days", US_national_yearly!$D:$AM, 10, FALSE), 1)</f>
        <v>5.0960526009862964E-2</v>
      </c>
      <c r="P14" s="7">
        <f>$B14 * IFERROR(VLOOKUP("transport|SO2|Minor restricted activity days", US_national_yearly!$D:$AM, 24, FALSE) / VLOOKUP("transport|SO2|Minor restricted activity days", US_national_yearly!$D:$AM, 10, FALSE), 1)</f>
        <v>5.1374097938232152E-2</v>
      </c>
      <c r="Q14" s="7">
        <f>$B14 * IFERROR(VLOOKUP("transport|SO2|Minor restricted activity days", US_national_yearly!$D:$AM, 25, FALSE) / VLOOKUP("transport|SO2|Minor restricted activity days", US_national_yearly!$D:$AM, 10, FALSE), 1)</f>
        <v>5.1787669866601341E-2</v>
      </c>
      <c r="R14" s="7">
        <f>$B14 * IFERROR(VLOOKUP("transport|SO2|Minor restricted activity days", US_national_yearly!$D:$AM, 26, FALSE) / VLOOKUP("transport|SO2|Minor restricted activity days", US_national_yearly!$D:$AM, 10, FALSE), 1)</f>
        <v>5.2201241794970536E-2</v>
      </c>
      <c r="S14" s="7">
        <f>$B14 * IFERROR(VLOOKUP("transport|SO2|Minor restricted activity days", US_national_yearly!$D:$AM, 27, FALSE) / VLOOKUP("transport|SO2|Minor restricted activity days", US_national_yearly!$D:$AM, 10, FALSE), 1)</f>
        <v>5.2622918853850773E-2</v>
      </c>
      <c r="T14" s="7">
        <f>$B14 * IFERROR(VLOOKUP("transport|SO2|Minor restricted activity days", US_national_yearly!$D:$AM, 28, FALSE) / VLOOKUP("transport|SO2|Minor restricted activity days", US_national_yearly!$D:$AM, 10, FALSE), 1)</f>
        <v>5.3044595912731016E-2</v>
      </c>
      <c r="U14" s="7">
        <f>$B14 * IFERROR(VLOOKUP("transport|SO2|Minor restricted activity days", US_national_yearly!$D:$AM, 29, FALSE) / VLOOKUP("transport|SO2|Minor restricted activity days", US_national_yearly!$D:$AM, 10, FALSE), 1)</f>
        <v>5.3466272971611252E-2</v>
      </c>
      <c r="V14" s="7">
        <f>$B14 * IFERROR(VLOOKUP("transport|SO2|Minor restricted activity days", US_national_yearly!$D:$AM, 30, FALSE) / VLOOKUP("transport|SO2|Minor restricted activity days", US_national_yearly!$D:$AM, 10, FALSE), 1)</f>
        <v>5.3887950030491495E-2</v>
      </c>
      <c r="W14" s="7">
        <f>$B14 * IFERROR(VLOOKUP("transport|SO2|Minor restricted activity days", US_national_yearly!$D:$AM, 31, FALSE) / VLOOKUP("transport|SO2|Minor restricted activity days", US_national_yearly!$D:$AM, 10, FALSE), 1)</f>
        <v>5.4309627089371738E-2</v>
      </c>
      <c r="X14" s="7">
        <f>$B14 * IFERROR(VLOOKUP("transport|SO2|Minor restricted activity days", US_national_yearly!$D:$AM, 32, FALSE) / VLOOKUP("transport|SO2|Minor restricted activity days", US_national_yearly!$D:$AM, 10, FALSE), 1)</f>
        <v>5.468045845971118E-2</v>
      </c>
      <c r="Y14" s="7">
        <f>$B14 * IFERROR(VLOOKUP("transport|SO2|Minor restricted activity days", US_national_yearly!$D:$AM, 33, FALSE) / VLOOKUP("transport|SO2|Minor restricted activity days", US_national_yearly!$D:$AM, 10, FALSE), 1)</f>
        <v>5.5051289830050622E-2</v>
      </c>
      <c r="Z14" s="7">
        <f>$B14 * IFERROR(VLOOKUP("transport|SO2|Minor restricted activity days", US_national_yearly!$D:$AM, 34, FALSE) / VLOOKUP("transport|SO2|Minor restricted activity days", US_national_yearly!$D:$AM, 10, FALSE), 1)</f>
        <v>5.5422121200390077E-2</v>
      </c>
      <c r="AA14" s="7">
        <f>$B14 * IFERROR(VLOOKUP("transport|SO2|Minor restricted activity days", US_national_yearly!$D:$AM, 35, FALSE) / VLOOKUP("transport|SO2|Minor restricted activity days", US_national_yearly!$D:$AM, 10, FALSE), 1)</f>
        <v>5.5792952570729519E-2</v>
      </c>
      <c r="AB14" s="7">
        <f>$B14 * IFERROR(VLOOKUP("transport|SO2|Minor restricted activity days", US_national_yearly!$D:$AM, 36, FALSE) / VLOOKUP("transport|SO2|Minor restricted activity days", US_national_yearly!$D:$AM, 10, FALSE), 1)</f>
        <v>5.6163783941068968E-2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8.1141716365248726E-3</v>
      </c>
      <c r="C15" s="7">
        <f>$B15 * IFERROR(VLOOKUP("transport|SO2|Work loss days", US_national_yearly!$D:$AM, 11, FALSE) / VLOOKUP("transport|SO2|Work loss days", US_national_yearly!$D:$AM, 10, FALSE), 1)</f>
        <v>8.1404602629937053E-3</v>
      </c>
      <c r="D15" s="7">
        <f>$B15 * IFERROR(VLOOKUP("transport|SO2|Work loss days", US_national_yearly!$D:$AM, 12, FALSE) / VLOOKUP("transport|SO2|Work loss days", US_national_yearly!$D:$AM, 10, FALSE), 1)</f>
        <v>8.1667488894625381E-3</v>
      </c>
      <c r="E15" s="7">
        <f>$B15 * IFERROR(VLOOKUP("transport|SO2|Work loss days", US_national_yearly!$D:$AM, 13, FALSE) / VLOOKUP("transport|SO2|Work loss days", US_national_yearly!$D:$AM, 10, FALSE), 1)</f>
        <v>8.1930375159313708E-3</v>
      </c>
      <c r="F15" s="7">
        <f>$B15 * IFERROR(VLOOKUP("transport|SO2|Work loss days", US_national_yearly!$D:$AM, 14, FALSE) / VLOOKUP("transport|SO2|Work loss days", US_national_yearly!$D:$AM, 10, FALSE), 1)</f>
        <v>8.2193261424002052E-3</v>
      </c>
      <c r="G15" s="7">
        <f>$B15 * IFERROR(VLOOKUP("transport|SO2|Work loss days", US_national_yearly!$D:$AM, 15, FALSE) / VLOOKUP("transport|SO2|Work loss days", US_national_yearly!$D:$AM, 10, FALSE), 1)</f>
        <v>8.2536754495007754E-3</v>
      </c>
      <c r="H15" s="7">
        <f>$B15 * IFERROR(VLOOKUP("transport|SO2|Work loss days", US_national_yearly!$D:$AM, 16, FALSE) / VLOOKUP("transport|SO2|Work loss days", US_national_yearly!$D:$AM, 10, FALSE), 1)</f>
        <v>8.2880247566013455E-3</v>
      </c>
      <c r="I15" s="7">
        <f>$B15 * IFERROR(VLOOKUP("transport|SO2|Work loss days", US_national_yearly!$D:$AM, 17, FALSE) / VLOOKUP("transport|SO2|Work loss days", US_national_yearly!$D:$AM, 10, FALSE), 1)</f>
        <v>8.3382731818276642E-3</v>
      </c>
      <c r="J15" s="7">
        <f>$B15 * IFERROR(VLOOKUP("transport|SO2|Work loss days", US_national_yearly!$D:$AM, 18, FALSE) / VLOOKUP("transport|SO2|Work loss days", US_national_yearly!$D:$AM, 10, FALSE), 1)</f>
        <v>8.3885216070539812E-3</v>
      </c>
      <c r="K15" s="7">
        <f>$B15 * IFERROR(VLOOKUP("transport|SO2|Work loss days", US_national_yearly!$D:$AM, 19, FALSE) / VLOOKUP("transport|SO2|Work loss days", US_national_yearly!$D:$AM, 10, FALSE), 1)</f>
        <v>8.4387700322803016E-3</v>
      </c>
      <c r="L15" s="7">
        <f>$B15 * IFERROR(VLOOKUP("transport|SO2|Work loss days", US_national_yearly!$D:$AM, 20, FALSE) / VLOOKUP("transport|SO2|Work loss days", US_national_yearly!$D:$AM, 10, FALSE), 1)</f>
        <v>8.4890184575066203E-3</v>
      </c>
      <c r="M15" s="7">
        <f>$B15 * IFERROR(VLOOKUP("transport|SO2|Work loss days", US_national_yearly!$D:$AM, 21, FALSE) / VLOOKUP("transport|SO2|Work loss days", US_national_yearly!$D:$AM, 10, FALSE), 1)</f>
        <v>8.539266882732939E-3</v>
      </c>
      <c r="N15" s="7">
        <f>$B15 * IFERROR(VLOOKUP("transport|SO2|Work loss days", US_national_yearly!$D:$AM, 22, FALSE) / VLOOKUP("transport|SO2|Work loss days", US_national_yearly!$D:$AM, 10, FALSE), 1)</f>
        <v>8.602270265180385E-3</v>
      </c>
      <c r="O15" s="7">
        <f>$B15 * IFERROR(VLOOKUP("transport|SO2|Work loss days", US_national_yearly!$D:$AM, 23, FALSE) / VLOOKUP("transport|SO2|Work loss days", US_national_yearly!$D:$AM, 10, FALSE), 1)</f>
        <v>8.6652736476278292E-3</v>
      </c>
      <c r="P15" s="7">
        <f>$B15 * IFERROR(VLOOKUP("transport|SO2|Work loss days", US_national_yearly!$D:$AM, 24, FALSE) / VLOOKUP("transport|SO2|Work loss days", US_national_yearly!$D:$AM, 10, FALSE), 1)</f>
        <v>8.7282770300752717E-3</v>
      </c>
      <c r="Q15" s="7">
        <f>$B15 * IFERROR(VLOOKUP("transport|SO2|Work loss days", US_national_yearly!$D:$AM, 25, FALSE) / VLOOKUP("transport|SO2|Work loss days", US_national_yearly!$D:$AM, 10, FALSE), 1)</f>
        <v>8.7912804125227176E-3</v>
      </c>
      <c r="R15" s="7">
        <f>$B15 * IFERROR(VLOOKUP("transport|SO2|Work loss days", US_national_yearly!$D:$AM, 26, FALSE) / VLOOKUP("transport|SO2|Work loss days", US_national_yearly!$D:$AM, 10, FALSE), 1)</f>
        <v>8.8542837949701619E-3</v>
      </c>
      <c r="S15" s="7">
        <f>$B15 * IFERROR(VLOOKUP("transport|SO2|Work loss days", US_national_yearly!$D:$AM, 27, FALSE) / VLOOKUP("transport|SO2|Work loss days", US_national_yearly!$D:$AM, 10, FALSE), 1)</f>
        <v>8.9246898671356822E-3</v>
      </c>
      <c r="T15" s="7">
        <f>$B15 * IFERROR(VLOOKUP("transport|SO2|Work loss days", US_national_yearly!$D:$AM, 28, FALSE) / VLOOKUP("transport|SO2|Work loss days", US_national_yearly!$D:$AM, 10, FALSE), 1)</f>
        <v>8.9950959393012044E-3</v>
      </c>
      <c r="U15" s="7">
        <f>$B15 * IFERROR(VLOOKUP("transport|SO2|Work loss days", US_national_yearly!$D:$AM, 29, FALSE) / VLOOKUP("transport|SO2|Work loss days", US_national_yearly!$D:$AM, 10, FALSE), 1)</f>
        <v>9.0655020114667247E-3</v>
      </c>
      <c r="V15" s="7">
        <f>$B15 * IFERROR(VLOOKUP("transport|SO2|Work loss days", US_national_yearly!$D:$AM, 30, FALSE) / VLOOKUP("transport|SO2|Work loss days", US_national_yearly!$D:$AM, 10, FALSE), 1)</f>
        <v>9.1359080836322451E-3</v>
      </c>
      <c r="W15" s="7">
        <f>$B15 * IFERROR(VLOOKUP("transport|SO2|Work loss days", US_national_yearly!$D:$AM, 31, FALSE) / VLOOKUP("transport|SO2|Work loss days", US_national_yearly!$D:$AM, 10, FALSE), 1)</f>
        <v>9.2063141557977672E-3</v>
      </c>
      <c r="X15" s="7">
        <f>$B15 * IFERROR(VLOOKUP("transport|SO2|Work loss days", US_national_yearly!$D:$AM, 32, FALSE) / VLOOKUP("transport|SO2|Work loss days", US_national_yearly!$D:$AM, 10, FALSE), 1)</f>
        <v>9.2695291040677166E-3</v>
      </c>
      <c r="Y15" s="7">
        <f>$B15 * IFERROR(VLOOKUP("transport|SO2|Work loss days", US_national_yearly!$D:$AM, 33, FALSE) / VLOOKUP("transport|SO2|Work loss days", US_national_yearly!$D:$AM, 10, FALSE), 1)</f>
        <v>9.3327440523376659E-3</v>
      </c>
      <c r="Z15" s="7">
        <f>$B15 * IFERROR(VLOOKUP("transport|SO2|Work loss days", US_national_yearly!$D:$AM, 34, FALSE) / VLOOKUP("transport|SO2|Work loss days", US_national_yearly!$D:$AM, 10, FALSE), 1)</f>
        <v>9.395959000607617E-3</v>
      </c>
      <c r="AA15" s="7">
        <f>$B15 * IFERROR(VLOOKUP("transport|SO2|Work loss days", US_national_yearly!$D:$AM, 35, FALSE) / VLOOKUP("transport|SO2|Work loss days", US_national_yearly!$D:$AM, 10, FALSE), 1)</f>
        <v>9.4591739488775663E-3</v>
      </c>
      <c r="AB15" s="7">
        <f>$B15 * IFERROR(VLOOKUP("transport|SO2|Work loss days", US_national_yearly!$D:$AM, 36, FALSE) / VLOOKUP("transport|SO2|Work loss days", US_national_yearly!$D:$AM, 10, FALSE), 1)</f>
        <v>9.5223888971475157E-3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1.0713408246551567E-5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1.1037422738086071E-5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1.1361437229620573E-5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1.1685451721155077E-5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1.2009466212689583E-5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1.2319841286617093E-5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1.2630216360544606E-5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1.2896147229733547E-5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1.316207809892249E-5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1.3428008968111433E-5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1.3693939837300376E-5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1.3959870706489317E-5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1.4138515674252349E-5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1.431716064201538E-5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1.4495805609778412E-5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1.4674450577541443E-5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1.4853095545304477E-5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1.4947050078814245E-5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1.5041004612324015E-5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1.5134959145833786E-5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1.5228913679343554E-5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1.5322868212853323E-5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1.5385942997098016E-5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1.544901778134271E-5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1.5512092565587401E-5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1.5575167349832094E-5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1.5638242134076785E-5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2.751142160234118E-4</v>
      </c>
      <c r="C2" s="7">
        <f>$B2 * IFERROR(VLOOKUP("electricity|PM25|Premature mortality", US_national_yearly!$D:$AM, 11, FALSE) / VLOOKUP("electricity|PM25|Premature mortality", US_national_yearly!$D:$AM, 10, FALSE), 1)</f>
        <v>2.7852184610811987E-4</v>
      </c>
      <c r="D2" s="7">
        <f>$B2 * IFERROR(VLOOKUP("electricity|PM25|Premature mortality", US_national_yearly!$D:$AM, 12, FALSE) / VLOOKUP("electricity|PM25|Premature mortality", US_national_yearly!$D:$AM, 10, FALSE), 1)</f>
        <v>2.8192947619282794E-4</v>
      </c>
      <c r="E2" s="7">
        <f>$B2 * IFERROR(VLOOKUP("electricity|PM25|Premature mortality", US_national_yearly!$D:$AM, 13, FALSE) / VLOOKUP("electricity|PM25|Premature mortality", US_national_yearly!$D:$AM, 10, FALSE), 1)</f>
        <v>2.8533710627753602E-4</v>
      </c>
      <c r="F2" s="7">
        <f>$B2 * IFERROR(VLOOKUP("electricity|PM25|Premature mortality", US_national_yearly!$D:$AM, 14, FALSE) / VLOOKUP("electricity|PM25|Premature mortality", US_national_yearly!$D:$AM, 10, FALSE), 1)</f>
        <v>2.8874473636224414E-4</v>
      </c>
      <c r="G2" s="7">
        <f>$B2 * IFERROR(VLOOKUP("electricity|PM25|Premature mortality", US_national_yearly!$D:$AM, 15, FALSE) / VLOOKUP("electricity|PM25|Premature mortality", US_national_yearly!$D:$AM, 10, FALSE), 1)</f>
        <v>2.954375030720866E-4</v>
      </c>
      <c r="H2" s="7">
        <f>$B2 * IFERROR(VLOOKUP("electricity|PM25|Premature mortality", US_national_yearly!$D:$AM, 16, FALSE) / VLOOKUP("electricity|PM25|Premature mortality", US_national_yearly!$D:$AM, 10, FALSE), 1)</f>
        <v>3.0213026978192912E-4</v>
      </c>
      <c r="I2" s="7">
        <f>$B2 * IFERROR(VLOOKUP("electricity|PM25|Premature mortality", US_national_yearly!$D:$AM, 17, FALSE) / VLOOKUP("electricity|PM25|Premature mortality", US_national_yearly!$D:$AM, 10, FALSE), 1)</f>
        <v>3.0662719658512759E-4</v>
      </c>
      <c r="J2" s="7">
        <f>$B2 * IFERROR(VLOOKUP("electricity|PM25|Premature mortality", US_national_yearly!$D:$AM, 18, FALSE) / VLOOKUP("electricity|PM25|Premature mortality", US_national_yearly!$D:$AM, 10, FALSE), 1)</f>
        <v>3.1112412338832606E-4</v>
      </c>
      <c r="K2" s="7">
        <f>$B2 * IFERROR(VLOOKUP("electricity|PM25|Premature mortality", US_national_yearly!$D:$AM, 19, FALSE) / VLOOKUP("electricity|PM25|Premature mortality", US_national_yearly!$D:$AM, 10, FALSE), 1)</f>
        <v>3.1562105019152453E-4</v>
      </c>
      <c r="L2" s="7">
        <f>$B2 * IFERROR(VLOOKUP("electricity|PM25|Premature mortality", US_national_yearly!$D:$AM, 20, FALSE) / VLOOKUP("electricity|PM25|Premature mortality", US_national_yearly!$D:$AM, 10, FALSE), 1)</f>
        <v>3.20117976994723E-4</v>
      </c>
      <c r="M2" s="7">
        <f>$B2 * IFERROR(VLOOKUP("electricity|PM25|Premature mortality", US_national_yearly!$D:$AM, 21, FALSE) / VLOOKUP("electricity|PM25|Premature mortality", US_national_yearly!$D:$AM, 10, FALSE), 1)</f>
        <v>3.2461490379792146E-4</v>
      </c>
      <c r="N2" s="7">
        <f>$B2 * IFERROR(VLOOKUP("electricity|PM25|Premature mortality", US_national_yearly!$D:$AM, 22, FALSE) / VLOOKUP("electricity|PM25|Premature mortality", US_national_yearly!$D:$AM, 10, FALSE), 1)</f>
        <v>3.2819946358638694E-4</v>
      </c>
      <c r="O2" s="7">
        <f>$B2 * IFERROR(VLOOKUP("electricity|PM25|Premature mortality", US_national_yearly!$D:$AM, 23, FALSE) / VLOOKUP("electricity|PM25|Premature mortality", US_national_yearly!$D:$AM, 10, FALSE), 1)</f>
        <v>3.3178402337485241E-4</v>
      </c>
      <c r="P2" s="7">
        <f>$B2 * IFERROR(VLOOKUP("electricity|PM25|Premature mortality", US_national_yearly!$D:$AM, 24, FALSE) / VLOOKUP("electricity|PM25|Premature mortality", US_national_yearly!$D:$AM, 10, FALSE), 1)</f>
        <v>3.3536858316331793E-4</v>
      </c>
      <c r="Q2" s="7">
        <f>$B2 * IFERROR(VLOOKUP("electricity|PM25|Premature mortality", US_national_yearly!$D:$AM, 25, FALSE) / VLOOKUP("electricity|PM25|Premature mortality", US_national_yearly!$D:$AM, 10, FALSE), 1)</f>
        <v>3.389531429517834E-4</v>
      </c>
      <c r="R2" s="7">
        <f>$B2 * IFERROR(VLOOKUP("electricity|PM25|Premature mortality", US_national_yearly!$D:$AM, 26, FALSE) / VLOOKUP("electricity|PM25|Premature mortality", US_national_yearly!$D:$AM, 10, FALSE), 1)</f>
        <v>3.4253770274024893E-4</v>
      </c>
      <c r="S2" s="7">
        <f>$B2 * IFERROR(VLOOKUP("electricity|PM25|Premature mortality", US_national_yearly!$D:$AM, 27, FALSE) / VLOOKUP("electricity|PM25|Premature mortality", US_national_yearly!$D:$AM, 10, FALSE), 1)</f>
        <v>3.4458880706354658E-4</v>
      </c>
      <c r="T2" s="7">
        <f>$B2 * IFERROR(VLOOKUP("electricity|PM25|Premature mortality", US_national_yearly!$D:$AM, 28, FALSE) / VLOOKUP("electricity|PM25|Premature mortality", US_national_yearly!$D:$AM, 10, FALSE), 1)</f>
        <v>3.4663991138684418E-4</v>
      </c>
      <c r="U2" s="7">
        <f>$B2 * IFERROR(VLOOKUP("electricity|PM25|Premature mortality", US_national_yearly!$D:$AM, 29, FALSE) / VLOOKUP("electricity|PM25|Premature mortality", US_national_yearly!$D:$AM, 10, FALSE), 1)</f>
        <v>3.4869101571014194E-4</v>
      </c>
      <c r="V2" s="7">
        <f>$B2 * IFERROR(VLOOKUP("electricity|PM25|Premature mortality", US_national_yearly!$D:$AM, 30, FALSE) / VLOOKUP("electricity|PM25|Premature mortality", US_national_yearly!$D:$AM, 10, FALSE), 1)</f>
        <v>3.5074212003343954E-4</v>
      </c>
      <c r="W2" s="7">
        <f>$B2 * IFERROR(VLOOKUP("electricity|PM25|Premature mortality", US_national_yearly!$D:$AM, 31, FALSE) / VLOOKUP("electricity|PM25|Premature mortality", US_national_yearly!$D:$AM, 10, FALSE), 1)</f>
        <v>3.5279322435673719E-4</v>
      </c>
      <c r="X2" s="7">
        <f>$B2 * IFERROR(VLOOKUP("electricity|PM25|Premature mortality", US_national_yearly!$D:$AM, 32, FALSE) / VLOOKUP("electricity|PM25|Premature mortality", US_national_yearly!$D:$AM, 10, FALSE), 1)</f>
        <v>3.5336300787614406E-4</v>
      </c>
      <c r="Y2" s="7">
        <f>$B2 * IFERROR(VLOOKUP("electricity|PM25|Premature mortality", US_national_yearly!$D:$AM, 33, FALSE) / VLOOKUP("electricity|PM25|Premature mortality", US_national_yearly!$D:$AM, 10, FALSE), 1)</f>
        <v>3.5393279139555098E-4</v>
      </c>
      <c r="Z2" s="7">
        <f>$B2 * IFERROR(VLOOKUP("electricity|PM25|Premature mortality", US_national_yearly!$D:$AM, 34, FALSE) / VLOOKUP("electricity|PM25|Premature mortality", US_national_yearly!$D:$AM, 10, FALSE), 1)</f>
        <v>3.5450257491495785E-4</v>
      </c>
      <c r="AA2" s="7">
        <f>$B2 * IFERROR(VLOOKUP("electricity|PM25|Premature mortality", US_national_yearly!$D:$AM, 35, FALSE) / VLOOKUP("electricity|PM25|Premature mortality", US_national_yearly!$D:$AM, 10, FALSE), 1)</f>
        <v>3.5507235843436477E-4</v>
      </c>
      <c r="AB2" s="7">
        <f>$B2 * IFERROR(VLOOKUP("electricity|PM25|Premature mortality", US_national_yearly!$D:$AM, 36, FALSE) / VLOOKUP("electricity|PM25|Premature mortality", US_national_yearly!$D:$AM, 10, FALSE), 1)</f>
        <v>3.5564214195377163E-4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8.0480751955687839E-7</v>
      </c>
      <c r="C3" s="7">
        <f>$B3 * IFERROR(VLOOKUP("electricity|PM25|Infant mortality", US_national_yearly!$D:$AM, 11, FALSE) / VLOOKUP("electricity|PM25|Infant mortality", US_national_yearly!$D:$AM, 10, FALSE), 1)</f>
        <v>7.9779523366620187E-7</v>
      </c>
      <c r="D3" s="7">
        <f>$B3 * IFERROR(VLOOKUP("electricity|PM25|Infant mortality", US_national_yearly!$D:$AM, 12, FALSE) / VLOOKUP("electricity|PM25|Infant mortality", US_national_yearly!$D:$AM, 10, FALSE), 1)</f>
        <v>7.9078294777552546E-7</v>
      </c>
      <c r="E3" s="7">
        <f>$B3 * IFERROR(VLOOKUP("electricity|PM25|Infant mortality", US_national_yearly!$D:$AM, 13, FALSE) / VLOOKUP("electricity|PM25|Infant mortality", US_national_yearly!$D:$AM, 10, FALSE), 1)</f>
        <v>7.8377066188484884E-7</v>
      </c>
      <c r="F3" s="7">
        <f>$B3 * IFERROR(VLOOKUP("electricity|PM25|Infant mortality", US_national_yearly!$D:$AM, 14, FALSE) / VLOOKUP("electricity|PM25|Infant mortality", US_national_yearly!$D:$AM, 10, FALSE), 1)</f>
        <v>7.7675837599417232E-7</v>
      </c>
      <c r="G3" s="7">
        <f>$B3 * IFERROR(VLOOKUP("electricity|PM25|Infant mortality", US_national_yearly!$D:$AM, 15, FALSE) / VLOOKUP("electricity|PM25|Infant mortality", US_national_yearly!$D:$AM, 10, FALSE), 1)</f>
        <v>5.1512194463138485E-7</v>
      </c>
      <c r="H3" s="7">
        <f>$B3 * IFERROR(VLOOKUP("electricity|PM25|Infant mortality", US_national_yearly!$D:$AM, 16, FALSE) / VLOOKUP("electricity|PM25|Infant mortality", US_national_yearly!$D:$AM, 10, FALSE), 1)</f>
        <v>2.5348551326859733E-7</v>
      </c>
      <c r="I3" s="7">
        <f>$B3 * IFERROR(VLOOKUP("electricity|PM25|Infant mortality", US_national_yearly!$D:$AM, 17, FALSE) / VLOOKUP("electricity|PM25|Infant mortality", US_national_yearly!$D:$AM, 10, FALSE), 1)</f>
        <v>2.5169578939168999E-7</v>
      </c>
      <c r="J3" s="7">
        <f>$B3 * IFERROR(VLOOKUP("electricity|PM25|Infant mortality", US_national_yearly!$D:$AM, 18, FALSE) / VLOOKUP("electricity|PM25|Infant mortality", US_national_yearly!$D:$AM, 10, FALSE), 1)</f>
        <v>2.4990606551478275E-7</v>
      </c>
      <c r="K3" s="7">
        <f>$B3 * IFERROR(VLOOKUP("electricity|PM25|Infant mortality", US_national_yearly!$D:$AM, 19, FALSE) / VLOOKUP("electricity|PM25|Infant mortality", US_national_yearly!$D:$AM, 10, FALSE), 1)</f>
        <v>2.4811634163787546E-7</v>
      </c>
      <c r="L3" s="7">
        <f>$B3 * IFERROR(VLOOKUP("electricity|PM25|Infant mortality", US_national_yearly!$D:$AM, 20, FALSE) / VLOOKUP("electricity|PM25|Infant mortality", US_national_yearly!$D:$AM, 10, FALSE), 1)</f>
        <v>2.4632661776096817E-7</v>
      </c>
      <c r="M3" s="7">
        <f>$B3 * IFERROR(VLOOKUP("electricity|PM25|Infant mortality", US_national_yearly!$D:$AM, 21, FALSE) / VLOOKUP("electricity|PM25|Infant mortality", US_national_yearly!$D:$AM, 10, FALSE), 1)</f>
        <v>2.4453689388406094E-7</v>
      </c>
      <c r="N3" s="7">
        <f>$B3 * IFERROR(VLOOKUP("electricity|PM25|Infant mortality", US_national_yearly!$D:$AM, 22, FALSE) / VLOOKUP("electricity|PM25|Infant mortality", US_national_yearly!$D:$AM, 10, FALSE), 1)</f>
        <v>2.4338586381369753E-7</v>
      </c>
      <c r="O3" s="7">
        <f>$B3 * IFERROR(VLOOKUP("electricity|PM25|Infant mortality", US_national_yearly!$D:$AM, 23, FALSE) / VLOOKUP("electricity|PM25|Infant mortality", US_national_yearly!$D:$AM, 10, FALSE), 1)</f>
        <v>2.4223483374333412E-7</v>
      </c>
      <c r="P3" s="7">
        <f>$B3 * IFERROR(VLOOKUP("electricity|PM25|Infant mortality", US_national_yearly!$D:$AM, 24, FALSE) / VLOOKUP("electricity|PM25|Infant mortality", US_national_yearly!$D:$AM, 10, FALSE), 1)</f>
        <v>2.4108380367297066E-7</v>
      </c>
      <c r="Q3" s="7">
        <f>$B3 * IFERROR(VLOOKUP("electricity|PM25|Infant mortality", US_national_yearly!$D:$AM, 25, FALSE) / VLOOKUP("electricity|PM25|Infant mortality", US_national_yearly!$D:$AM, 10, FALSE), 1)</f>
        <v>2.3993277360260725E-7</v>
      </c>
      <c r="R3" s="7">
        <f>$B3 * IFERROR(VLOOKUP("electricity|PM25|Infant mortality", US_national_yearly!$D:$AM, 26, FALSE) / VLOOKUP("electricity|PM25|Infant mortality", US_national_yearly!$D:$AM, 10, FALSE), 1)</f>
        <v>2.3878174353224379E-7</v>
      </c>
      <c r="S3" s="7">
        <f>$B3 * IFERROR(VLOOKUP("electricity|PM25|Infant mortality", US_national_yearly!$D:$AM, 27, FALSE) / VLOOKUP("electricity|PM25|Infant mortality", US_national_yearly!$D:$AM, 10, FALSE), 1)</f>
        <v>2.3740278378643524E-7</v>
      </c>
      <c r="T3" s="7">
        <f>$B3 * IFERROR(VLOOKUP("electricity|PM25|Infant mortality", US_national_yearly!$D:$AM, 28, FALSE) / VLOOKUP("electricity|PM25|Infant mortality", US_national_yearly!$D:$AM, 10, FALSE), 1)</f>
        <v>2.3602382404062666E-7</v>
      </c>
      <c r="U3" s="7">
        <f>$B3 * IFERROR(VLOOKUP("electricity|PM25|Infant mortality", US_national_yearly!$D:$AM, 29, FALSE) / VLOOKUP("electricity|PM25|Infant mortality", US_national_yearly!$D:$AM, 10, FALSE), 1)</f>
        <v>2.3464486429481816E-7</v>
      </c>
      <c r="V3" s="7">
        <f>$B3 * IFERROR(VLOOKUP("electricity|PM25|Infant mortality", US_national_yearly!$D:$AM, 30, FALSE) / VLOOKUP("electricity|PM25|Infant mortality", US_national_yearly!$D:$AM, 10, FALSE), 1)</f>
        <v>2.3326590454900958E-7</v>
      </c>
      <c r="W3" s="7">
        <f>$B3 * IFERROR(VLOOKUP("electricity|PM25|Infant mortality", US_national_yearly!$D:$AM, 31, FALSE) / VLOOKUP("electricity|PM25|Infant mortality", US_national_yearly!$D:$AM, 10, FALSE), 1)</f>
        <v>2.31886944803201E-7</v>
      </c>
      <c r="X3" s="7">
        <f>$B3 * IFERROR(VLOOKUP("electricity|PM25|Infant mortality", US_national_yearly!$D:$AM, 32, FALSE) / VLOOKUP("electricity|PM25|Infant mortality", US_national_yearly!$D:$AM, 10, FALSE), 1)</f>
        <v>2.3046196207690181E-7</v>
      </c>
      <c r="Y3" s="7">
        <f>$B3 * IFERROR(VLOOKUP("electricity|PM25|Infant mortality", US_national_yearly!$D:$AM, 33, FALSE) / VLOOKUP("electricity|PM25|Infant mortality", US_national_yearly!$D:$AM, 10, FALSE), 1)</f>
        <v>2.290369793506026E-7</v>
      </c>
      <c r="Z3" s="7">
        <f>$B3 * IFERROR(VLOOKUP("electricity|PM25|Infant mortality", US_national_yearly!$D:$AM, 34, FALSE) / VLOOKUP("electricity|PM25|Infant mortality", US_national_yearly!$D:$AM, 10, FALSE), 1)</f>
        <v>2.2761199662430338E-7</v>
      </c>
      <c r="AA3" s="7">
        <f>$B3 * IFERROR(VLOOKUP("electricity|PM25|Infant mortality", US_national_yearly!$D:$AM, 35, FALSE) / VLOOKUP("electricity|PM25|Infant mortality", US_national_yearly!$D:$AM, 10, FALSE), 1)</f>
        <v>2.2618701389800419E-7</v>
      </c>
      <c r="AB3" s="7">
        <f>$B3 * IFERROR(VLOOKUP("electricity|PM25|Infant mortality", US_national_yearly!$D:$AM, 36, FALSE) / VLOOKUP("electricity|PM25|Infant mortality", US_national_yearly!$D:$AM, 10, FALSE), 1)</f>
        <v>2.2476203117170498E-7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9.2878466718955446E-4</v>
      </c>
      <c r="C6" s="7">
        <f>$B6 * IFERROR(VLOOKUP("electricity|PM25|Asthma symptoms cough", US_national_yearly!$D:$AM, 11, FALSE) / VLOOKUP("electricity|PM25|Asthma symptoms cough", US_national_yearly!$D:$AM, 10, FALSE), 1)</f>
        <v>9.2878466718955446E-4</v>
      </c>
      <c r="D6" s="7">
        <f>$B6 * IFERROR(VLOOKUP("electricity|PM25|Asthma symptoms cough", US_national_yearly!$D:$AM, 12, FALSE) / VLOOKUP("electricity|PM25|Asthma symptoms cough", US_national_yearly!$D:$AM, 10, FALSE), 1)</f>
        <v>9.2878466718955446E-4</v>
      </c>
      <c r="E6" s="7">
        <f>$B6 * IFERROR(VLOOKUP("electricity|PM25|Asthma symptoms cough", US_national_yearly!$D:$AM, 13, FALSE) / VLOOKUP("electricity|PM25|Asthma symptoms cough", US_national_yearly!$D:$AM, 10, FALSE), 1)</f>
        <v>9.2878466718955446E-4</v>
      </c>
      <c r="F6" s="7">
        <f>$B6 * IFERROR(VLOOKUP("electricity|PM25|Asthma symptoms cough", US_national_yearly!$D:$AM, 14, FALSE) / VLOOKUP("electricity|PM25|Asthma symptoms cough", US_national_yearly!$D:$AM, 10, FALSE), 1)</f>
        <v>9.2878466718955446E-4</v>
      </c>
      <c r="G6" s="7">
        <f>$B6 * IFERROR(VLOOKUP("electricity|PM25|Asthma symptoms cough", US_national_yearly!$D:$AM, 15, FALSE) / VLOOKUP("electricity|PM25|Asthma symptoms cough", US_national_yearly!$D:$AM, 10, FALSE), 1)</f>
        <v>9.2878466718955446E-4</v>
      </c>
      <c r="H6" s="7">
        <f>$B6 * IFERROR(VLOOKUP("electricity|PM25|Asthma symptoms cough", US_national_yearly!$D:$AM, 16, FALSE) / VLOOKUP("electricity|PM25|Asthma symptoms cough", US_national_yearly!$D:$AM, 10, FALSE), 1)</f>
        <v>9.2878466718955446E-4</v>
      </c>
      <c r="I6" s="7">
        <f>$B6 * IFERROR(VLOOKUP("electricity|PM25|Asthma symptoms cough", US_national_yearly!$D:$AM, 17, FALSE) / VLOOKUP("electricity|PM25|Asthma symptoms cough", US_national_yearly!$D:$AM, 10, FALSE), 1)</f>
        <v>9.2878466718955446E-4</v>
      </c>
      <c r="J6" s="7">
        <f>$B6 * IFERROR(VLOOKUP("electricity|PM25|Asthma symptoms cough", US_national_yearly!$D:$AM, 18, FALSE) / VLOOKUP("electricity|PM25|Asthma symptoms cough", US_national_yearly!$D:$AM, 10, FALSE), 1)</f>
        <v>9.2878466718955446E-4</v>
      </c>
      <c r="K6" s="7">
        <f>$B6 * IFERROR(VLOOKUP("electricity|PM25|Asthma symptoms cough", US_national_yearly!$D:$AM, 19, FALSE) / VLOOKUP("electricity|PM25|Asthma symptoms cough", US_national_yearly!$D:$AM, 10, FALSE), 1)</f>
        <v>9.2878466718955446E-4</v>
      </c>
      <c r="L6" s="7">
        <f>$B6 * IFERROR(VLOOKUP("electricity|PM25|Asthma symptoms cough", US_national_yearly!$D:$AM, 20, FALSE) / VLOOKUP("electricity|PM25|Asthma symptoms cough", US_national_yearly!$D:$AM, 10, FALSE), 1)</f>
        <v>9.2878466718955446E-4</v>
      </c>
      <c r="M6" s="7">
        <f>$B6 * IFERROR(VLOOKUP("electricity|PM25|Asthma symptoms cough", US_national_yearly!$D:$AM, 21, FALSE) / VLOOKUP("electricity|PM25|Asthma symptoms cough", US_national_yearly!$D:$AM, 10, FALSE), 1)</f>
        <v>9.2878466718955446E-4</v>
      </c>
      <c r="N6" s="7">
        <f>$B6 * IFERROR(VLOOKUP("electricity|PM25|Asthma symptoms cough", US_national_yearly!$D:$AM, 22, FALSE) / VLOOKUP("electricity|PM25|Asthma symptoms cough", US_national_yearly!$D:$AM, 10, FALSE), 1)</f>
        <v>9.2878466718955446E-4</v>
      </c>
      <c r="O6" s="7">
        <f>$B6 * IFERROR(VLOOKUP("electricity|PM25|Asthma symptoms cough", US_national_yearly!$D:$AM, 23, FALSE) / VLOOKUP("electricity|PM25|Asthma symptoms cough", US_national_yearly!$D:$AM, 10, FALSE), 1)</f>
        <v>9.2878466718955446E-4</v>
      </c>
      <c r="P6" s="7">
        <f>$B6 * IFERROR(VLOOKUP("electricity|PM25|Asthma symptoms cough", US_national_yearly!$D:$AM, 24, FALSE) / VLOOKUP("electricity|PM25|Asthma symptoms cough", US_national_yearly!$D:$AM, 10, FALSE), 1)</f>
        <v>9.2878466718955446E-4</v>
      </c>
      <c r="Q6" s="7">
        <f>$B6 * IFERROR(VLOOKUP("electricity|PM25|Asthma symptoms cough", US_national_yearly!$D:$AM, 25, FALSE) / VLOOKUP("electricity|PM25|Asthma symptoms cough", US_national_yearly!$D:$AM, 10, FALSE), 1)</f>
        <v>9.2878466718955446E-4</v>
      </c>
      <c r="R6" s="7">
        <f>$B6 * IFERROR(VLOOKUP("electricity|PM25|Asthma symptoms cough", US_national_yearly!$D:$AM, 26, FALSE) / VLOOKUP("electricity|PM25|Asthma symptoms cough", US_national_yearly!$D:$AM, 10, FALSE), 1)</f>
        <v>9.2878466718955446E-4</v>
      </c>
      <c r="S6" s="7">
        <f>$B6 * IFERROR(VLOOKUP("electricity|PM25|Asthma symptoms cough", US_national_yearly!$D:$AM, 27, FALSE) / VLOOKUP("electricity|PM25|Asthma symptoms cough", US_national_yearly!$D:$AM, 10, FALSE), 1)</f>
        <v>9.2878466718955446E-4</v>
      </c>
      <c r="T6" s="7">
        <f>$B6 * IFERROR(VLOOKUP("electricity|PM25|Asthma symptoms cough", US_national_yearly!$D:$AM, 28, FALSE) / VLOOKUP("electricity|PM25|Asthma symptoms cough", US_national_yearly!$D:$AM, 10, FALSE), 1)</f>
        <v>9.2878466718955446E-4</v>
      </c>
      <c r="U6" s="7">
        <f>$B6 * IFERROR(VLOOKUP("electricity|PM25|Asthma symptoms cough", US_national_yearly!$D:$AM, 29, FALSE) / VLOOKUP("electricity|PM25|Asthma symptoms cough", US_national_yearly!$D:$AM, 10, FALSE), 1)</f>
        <v>9.2878466718955446E-4</v>
      </c>
      <c r="V6" s="7">
        <f>$B6 * IFERROR(VLOOKUP("electricity|PM25|Asthma symptoms cough", US_national_yearly!$D:$AM, 30, FALSE) / VLOOKUP("electricity|PM25|Asthma symptoms cough", US_national_yearly!$D:$AM, 10, FALSE), 1)</f>
        <v>9.2878466718955446E-4</v>
      </c>
      <c r="W6" s="7">
        <f>$B6 * IFERROR(VLOOKUP("electricity|PM25|Asthma symptoms cough", US_national_yearly!$D:$AM, 31, FALSE) / VLOOKUP("electricity|PM25|Asthma symptoms cough", US_national_yearly!$D:$AM, 10, FALSE), 1)</f>
        <v>9.2878466718955446E-4</v>
      </c>
      <c r="X6" s="7">
        <f>$B6 * IFERROR(VLOOKUP("electricity|PM25|Asthma symptoms cough", US_national_yearly!$D:$AM, 32, FALSE) / VLOOKUP("electricity|PM25|Asthma symptoms cough", US_national_yearly!$D:$AM, 10, FALSE), 1)</f>
        <v>9.2878466718955446E-4</v>
      </c>
      <c r="Y6" s="7">
        <f>$B6 * IFERROR(VLOOKUP("electricity|PM25|Asthma symptoms cough", US_national_yearly!$D:$AM, 33, FALSE) / VLOOKUP("electricity|PM25|Asthma symptoms cough", US_national_yearly!$D:$AM, 10, FALSE), 1)</f>
        <v>9.2878466718955446E-4</v>
      </c>
      <c r="Z6" s="7">
        <f>$B6 * IFERROR(VLOOKUP("electricity|PM25|Asthma symptoms cough", US_national_yearly!$D:$AM, 34, FALSE) / VLOOKUP("electricity|PM25|Asthma symptoms cough", US_national_yearly!$D:$AM, 10, FALSE), 1)</f>
        <v>9.2878466718955446E-4</v>
      </c>
      <c r="AA6" s="7">
        <f>$B6 * IFERROR(VLOOKUP("electricity|PM25|Asthma symptoms cough", US_national_yearly!$D:$AM, 35, FALSE) / VLOOKUP("electricity|PM25|Asthma symptoms cough", US_national_yearly!$D:$AM, 10, FALSE), 1)</f>
        <v>9.2878466718955446E-4</v>
      </c>
      <c r="AB6" s="7">
        <f>$B6 * IFERROR(VLOOKUP("electricity|PM25|Asthma symptoms cough", US_national_yearly!$D:$AM, 36, FALSE) / VLOOKUP("electricity|PM25|Asthma symptoms cough", US_national_yearly!$D:$AM, 10, FALSE), 1)</f>
        <v>9.2878466718955446E-4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1.2507432300186343E-3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1.2507432300186343E-3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1.2507432300186343E-3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1.2507432300186343E-3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1.2507432300186343E-3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1.2507432300186343E-3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1.2507432300186343E-3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1.2507432300186343E-3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1.2507432300186343E-3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1.2507432300186343E-3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1.2507432300186343E-3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1.2507432300186343E-3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1.2507432300186343E-3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1.2507432300186343E-3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1.2507432300186343E-3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1.2507432300186343E-3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1.2507432300186343E-3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1.2507432300186343E-3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1.2507432300186343E-3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1.2507432300186343E-3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1.2507432300186343E-3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1.2507432300186343E-3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1.2507432300186343E-3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1.2507432300186343E-3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1.2507432300186343E-3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1.2507432300186343E-3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1.2507432300186343E-3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1.9109240304683286E-3</v>
      </c>
      <c r="C8" s="7">
        <f>$B8 * IFERROR(VLOOKUP("electricity|PM25|Asthma symptoms wheeze", US_national_yearly!$D:$AM, 11, FALSE) / VLOOKUP("electricity|PM25|Asthma symptoms wheeze", US_national_yearly!$D:$AM, 10, FALSE), 1)</f>
        <v>1.9109240304683286E-3</v>
      </c>
      <c r="D8" s="7">
        <f>$B8 * IFERROR(VLOOKUP("electricity|PM25|Asthma symptoms wheeze", US_national_yearly!$D:$AM, 12, FALSE) / VLOOKUP("electricity|PM25|Asthma symptoms wheeze", US_national_yearly!$D:$AM, 10, FALSE), 1)</f>
        <v>1.9109240304683286E-3</v>
      </c>
      <c r="E8" s="7">
        <f>$B8 * IFERROR(VLOOKUP("electricity|PM25|Asthma symptoms wheeze", US_national_yearly!$D:$AM, 13, FALSE) / VLOOKUP("electricity|PM25|Asthma symptoms wheeze", US_national_yearly!$D:$AM, 10, FALSE), 1)</f>
        <v>1.9109240304683286E-3</v>
      </c>
      <c r="F8" s="7">
        <f>$B8 * IFERROR(VLOOKUP("electricity|PM25|Asthma symptoms wheeze", US_national_yearly!$D:$AM, 14, FALSE) / VLOOKUP("electricity|PM25|Asthma symptoms wheeze", US_national_yearly!$D:$AM, 10, FALSE), 1)</f>
        <v>1.9109240304683286E-3</v>
      </c>
      <c r="G8" s="7">
        <f>$B8 * IFERROR(VLOOKUP("electricity|PM25|Asthma symptoms wheeze", US_national_yearly!$D:$AM, 15, FALSE) / VLOOKUP("electricity|PM25|Asthma symptoms wheeze", US_national_yearly!$D:$AM, 10, FALSE), 1)</f>
        <v>1.9109240304683286E-3</v>
      </c>
      <c r="H8" s="7">
        <f>$B8 * IFERROR(VLOOKUP("electricity|PM25|Asthma symptoms wheeze", US_national_yearly!$D:$AM, 16, FALSE) / VLOOKUP("electricity|PM25|Asthma symptoms wheeze", US_national_yearly!$D:$AM, 10, FALSE), 1)</f>
        <v>1.9109240304683286E-3</v>
      </c>
      <c r="I8" s="7">
        <f>$B8 * IFERROR(VLOOKUP("electricity|PM25|Asthma symptoms wheeze", US_national_yearly!$D:$AM, 17, FALSE) / VLOOKUP("electricity|PM25|Asthma symptoms wheeze", US_national_yearly!$D:$AM, 10, FALSE), 1)</f>
        <v>1.9109240304683286E-3</v>
      </c>
      <c r="J8" s="7">
        <f>$B8 * IFERROR(VLOOKUP("electricity|PM25|Asthma symptoms wheeze", US_national_yearly!$D:$AM, 18, FALSE) / VLOOKUP("electricity|PM25|Asthma symptoms wheeze", US_national_yearly!$D:$AM, 10, FALSE), 1)</f>
        <v>1.9109240304683286E-3</v>
      </c>
      <c r="K8" s="7">
        <f>$B8 * IFERROR(VLOOKUP("electricity|PM25|Asthma symptoms wheeze", US_national_yearly!$D:$AM, 19, FALSE) / VLOOKUP("electricity|PM25|Asthma symptoms wheeze", US_national_yearly!$D:$AM, 10, FALSE), 1)</f>
        <v>1.9109240304683286E-3</v>
      </c>
      <c r="L8" s="7">
        <f>$B8 * IFERROR(VLOOKUP("electricity|PM25|Asthma symptoms wheeze", US_national_yearly!$D:$AM, 20, FALSE) / VLOOKUP("electricity|PM25|Asthma symptoms wheeze", US_national_yearly!$D:$AM, 10, FALSE), 1)</f>
        <v>1.9109240304683286E-3</v>
      </c>
      <c r="M8" s="7">
        <f>$B8 * IFERROR(VLOOKUP("electricity|PM25|Asthma symptoms wheeze", US_national_yearly!$D:$AM, 21, FALSE) / VLOOKUP("electricity|PM25|Asthma symptoms wheeze", US_national_yearly!$D:$AM, 10, FALSE), 1)</f>
        <v>1.9109240304683286E-3</v>
      </c>
      <c r="N8" s="7">
        <f>$B8 * IFERROR(VLOOKUP("electricity|PM25|Asthma symptoms wheeze", US_national_yearly!$D:$AM, 22, FALSE) / VLOOKUP("electricity|PM25|Asthma symptoms wheeze", US_national_yearly!$D:$AM, 10, FALSE), 1)</f>
        <v>1.9109240304683286E-3</v>
      </c>
      <c r="O8" s="7">
        <f>$B8 * IFERROR(VLOOKUP("electricity|PM25|Asthma symptoms wheeze", US_national_yearly!$D:$AM, 23, FALSE) / VLOOKUP("electricity|PM25|Asthma symptoms wheeze", US_national_yearly!$D:$AM, 10, FALSE), 1)</f>
        <v>1.9109240304683286E-3</v>
      </c>
      <c r="P8" s="7">
        <f>$B8 * IFERROR(VLOOKUP("electricity|PM25|Asthma symptoms wheeze", US_national_yearly!$D:$AM, 24, FALSE) / VLOOKUP("electricity|PM25|Asthma symptoms wheeze", US_national_yearly!$D:$AM, 10, FALSE), 1)</f>
        <v>1.9109240304683286E-3</v>
      </c>
      <c r="Q8" s="7">
        <f>$B8 * IFERROR(VLOOKUP("electricity|PM25|Asthma symptoms wheeze", US_national_yearly!$D:$AM, 25, FALSE) / VLOOKUP("electricity|PM25|Asthma symptoms wheeze", US_national_yearly!$D:$AM, 10, FALSE), 1)</f>
        <v>1.9109240304683286E-3</v>
      </c>
      <c r="R8" s="7">
        <f>$B8 * IFERROR(VLOOKUP("electricity|PM25|Asthma symptoms wheeze", US_national_yearly!$D:$AM, 26, FALSE) / VLOOKUP("electricity|PM25|Asthma symptoms wheeze", US_national_yearly!$D:$AM, 10, FALSE), 1)</f>
        <v>1.9109240304683286E-3</v>
      </c>
      <c r="S8" s="7">
        <f>$B8 * IFERROR(VLOOKUP("electricity|PM25|Asthma symptoms wheeze", US_national_yearly!$D:$AM, 27, FALSE) / VLOOKUP("electricity|PM25|Asthma symptoms wheeze", US_national_yearly!$D:$AM, 10, FALSE), 1)</f>
        <v>1.9109240304683286E-3</v>
      </c>
      <c r="T8" s="7">
        <f>$B8 * IFERROR(VLOOKUP("electricity|PM25|Asthma symptoms wheeze", US_national_yearly!$D:$AM, 28, FALSE) / VLOOKUP("electricity|PM25|Asthma symptoms wheeze", US_national_yearly!$D:$AM, 10, FALSE), 1)</f>
        <v>1.9109240304683286E-3</v>
      </c>
      <c r="U8" s="7">
        <f>$B8 * IFERROR(VLOOKUP("electricity|PM25|Asthma symptoms wheeze", US_national_yearly!$D:$AM, 29, FALSE) / VLOOKUP("electricity|PM25|Asthma symptoms wheeze", US_national_yearly!$D:$AM, 10, FALSE), 1)</f>
        <v>1.9109240304683286E-3</v>
      </c>
      <c r="V8" s="7">
        <f>$B8 * IFERROR(VLOOKUP("electricity|PM25|Asthma symptoms wheeze", US_national_yearly!$D:$AM, 30, FALSE) / VLOOKUP("electricity|PM25|Asthma symptoms wheeze", US_national_yearly!$D:$AM, 10, FALSE), 1)</f>
        <v>1.9109240304683286E-3</v>
      </c>
      <c r="W8" s="7">
        <f>$B8 * IFERROR(VLOOKUP("electricity|PM25|Asthma symptoms wheeze", US_national_yearly!$D:$AM, 31, FALSE) / VLOOKUP("electricity|PM25|Asthma symptoms wheeze", US_national_yearly!$D:$AM, 10, FALSE), 1)</f>
        <v>1.9109240304683286E-3</v>
      </c>
      <c r="X8" s="7">
        <f>$B8 * IFERROR(VLOOKUP("electricity|PM25|Asthma symptoms wheeze", US_national_yearly!$D:$AM, 32, FALSE) / VLOOKUP("electricity|PM25|Asthma symptoms wheeze", US_national_yearly!$D:$AM, 10, FALSE), 1)</f>
        <v>1.9109240304683286E-3</v>
      </c>
      <c r="Y8" s="7">
        <f>$B8 * IFERROR(VLOOKUP("electricity|PM25|Asthma symptoms wheeze", US_national_yearly!$D:$AM, 33, FALSE) / VLOOKUP("electricity|PM25|Asthma symptoms wheeze", US_national_yearly!$D:$AM, 10, FALSE), 1)</f>
        <v>1.9109240304683286E-3</v>
      </c>
      <c r="Z8" s="7">
        <f>$B8 * IFERROR(VLOOKUP("electricity|PM25|Asthma symptoms wheeze", US_national_yearly!$D:$AM, 34, FALSE) / VLOOKUP("electricity|PM25|Asthma symptoms wheeze", US_national_yearly!$D:$AM, 10, FALSE), 1)</f>
        <v>1.9109240304683286E-3</v>
      </c>
      <c r="AA8" s="7">
        <f>$B8 * IFERROR(VLOOKUP("electricity|PM25|Asthma symptoms wheeze", US_national_yearly!$D:$AM, 35, FALSE) / VLOOKUP("electricity|PM25|Asthma symptoms wheeze", US_national_yearly!$D:$AM, 10, FALSE), 1)</f>
        <v>1.9109240304683286E-3</v>
      </c>
      <c r="AB8" s="7">
        <f>$B8 * IFERROR(VLOOKUP("electricity|PM25|Asthma symptoms wheeze", US_national_yearly!$D:$AM, 36, FALSE) / VLOOKUP("electricity|PM25|Asthma symptoms wheeze", US_national_yearly!$D:$AM, 10, FALSE), 1)</f>
        <v>1.9109240304683286E-3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1.8067052255106934E-5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1.8166346574790112E-5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1.8265640894473287E-5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1.8364935214156468E-5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1.8464229533839643E-5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1.8570670603814121E-5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1.8677111673788602E-5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1.8772205895905962E-5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1.8867300118023319E-5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1.8962394340140676E-5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1.9057488562258033E-5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1.9152582784375394E-5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1.9216727213925647E-5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1.9280871643475908E-5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1.9345016073026169E-5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1.9409160502576423E-5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1.9473304932126683E-5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1.9533078569750723E-5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1.9592852207374755E-5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1.9652625844998791E-5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1.9712399482622828E-5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1.977217312024686E-5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1.9831277864834417E-5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1.9890382609421973E-5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1.9949487354009526E-5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2.0008592098597083E-5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2.0067696843184639E-5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1.0354777568740551E-4</v>
      </c>
      <c r="C13" s="7">
        <f>$B13 * IFERROR(VLOOKUP("electricity|PM25|Non-fatal heart attacks", US_national_yearly!$D:$AM, 11, FALSE) / VLOOKUP("electricity|PM25|Non-fatal heart attacks", US_national_yearly!$D:$AM, 10, FALSE), 1)</f>
        <v>1.0654701856030063E-4</v>
      </c>
      <c r="D13" s="7">
        <f>$B13 * IFERROR(VLOOKUP("electricity|PM25|Non-fatal heart attacks", US_national_yearly!$D:$AM, 12, FALSE) / VLOOKUP("electricity|PM25|Non-fatal heart attacks", US_national_yearly!$D:$AM, 10, FALSE), 1)</f>
        <v>1.0954626143319574E-4</v>
      </c>
      <c r="E13" s="7">
        <f>$B13 * IFERROR(VLOOKUP("electricity|PM25|Non-fatal heart attacks", US_national_yearly!$D:$AM, 13, FALSE) / VLOOKUP("electricity|PM25|Non-fatal heart attacks", US_national_yearly!$D:$AM, 10, FALSE), 1)</f>
        <v>1.1254550430609084E-4</v>
      </c>
      <c r="F13" s="7">
        <f>$B13 * IFERROR(VLOOKUP("electricity|PM25|Non-fatal heart attacks", US_national_yearly!$D:$AM, 14, FALSE) / VLOOKUP("electricity|PM25|Non-fatal heart attacks", US_national_yearly!$D:$AM, 10, FALSE), 1)</f>
        <v>1.1554474717898596E-4</v>
      </c>
      <c r="G13" s="7">
        <f>$B13 * IFERROR(VLOOKUP("electricity|PM25|Non-fatal heart attacks", US_national_yearly!$D:$AM, 15, FALSE) / VLOOKUP("electricity|PM25|Non-fatal heart attacks", US_national_yearly!$D:$AM, 10, FALSE), 1)</f>
        <v>1.1839152952640384E-4</v>
      </c>
      <c r="H13" s="7">
        <f>$B13 * IFERROR(VLOOKUP("electricity|PM25|Non-fatal heart attacks", US_national_yearly!$D:$AM, 16, FALSE) / VLOOKUP("electricity|PM25|Non-fatal heart attacks", US_national_yearly!$D:$AM, 10, FALSE), 1)</f>
        <v>1.212383118738217E-4</v>
      </c>
      <c r="I13" s="7">
        <f>$B13 * IFERROR(VLOOKUP("electricity|PM25|Non-fatal heart attacks", US_national_yearly!$D:$AM, 17, FALSE) / VLOOKUP("electricity|PM25|Non-fatal heart attacks", US_national_yearly!$D:$AM, 10, FALSE), 1)</f>
        <v>1.2356095019074216E-4</v>
      </c>
      <c r="J13" s="7">
        <f>$B13 * IFERROR(VLOOKUP("electricity|PM25|Non-fatal heart attacks", US_national_yearly!$D:$AM, 18, FALSE) / VLOOKUP("electricity|PM25|Non-fatal heart attacks", US_national_yearly!$D:$AM, 10, FALSE), 1)</f>
        <v>1.2588358850766263E-4</v>
      </c>
      <c r="K13" s="7">
        <f>$B13 * IFERROR(VLOOKUP("electricity|PM25|Non-fatal heart attacks", US_national_yearly!$D:$AM, 19, FALSE) / VLOOKUP("electricity|PM25|Non-fatal heart attacks", US_national_yearly!$D:$AM, 10, FALSE), 1)</f>
        <v>1.2820622682458308E-4</v>
      </c>
      <c r="L13" s="7">
        <f>$B13 * IFERROR(VLOOKUP("electricity|PM25|Non-fatal heart attacks", US_national_yearly!$D:$AM, 20, FALSE) / VLOOKUP("electricity|PM25|Non-fatal heart attacks", US_national_yearly!$D:$AM, 10, FALSE), 1)</f>
        <v>1.3052886514150353E-4</v>
      </c>
      <c r="M13" s="7">
        <f>$B13 * IFERROR(VLOOKUP("electricity|PM25|Non-fatal heart attacks", US_national_yearly!$D:$AM, 21, FALSE) / VLOOKUP("electricity|PM25|Non-fatal heart attacks", US_national_yearly!$D:$AM, 10, FALSE), 1)</f>
        <v>1.3285150345842403E-4</v>
      </c>
      <c r="N13" s="7">
        <f>$B13 * IFERROR(VLOOKUP("electricity|PM25|Non-fatal heart attacks", US_national_yearly!$D:$AM, 22, FALSE) / VLOOKUP("electricity|PM25|Non-fatal heart attacks", US_national_yearly!$D:$AM, 10, FALSE), 1)</f>
        <v>1.3435859589014314E-4</v>
      </c>
      <c r="O13" s="7">
        <f>$B13 * IFERROR(VLOOKUP("electricity|PM25|Non-fatal heart attacks", US_national_yearly!$D:$AM, 23, FALSE) / VLOOKUP("electricity|PM25|Non-fatal heart attacks", US_national_yearly!$D:$AM, 10, FALSE), 1)</f>
        <v>1.3586568832186228E-4</v>
      </c>
      <c r="P13" s="7">
        <f>$B13 * IFERROR(VLOOKUP("electricity|PM25|Non-fatal heart attacks", US_national_yearly!$D:$AM, 24, FALSE) / VLOOKUP("electricity|PM25|Non-fatal heart attacks", US_national_yearly!$D:$AM, 10, FALSE), 1)</f>
        <v>1.3737278075358136E-4</v>
      </c>
      <c r="Q13" s="7">
        <f>$B13 * IFERROR(VLOOKUP("electricity|PM25|Non-fatal heart attacks", US_national_yearly!$D:$AM, 25, FALSE) / VLOOKUP("electricity|PM25|Non-fatal heart attacks", US_national_yearly!$D:$AM, 10, FALSE), 1)</f>
        <v>1.3887987318530047E-4</v>
      </c>
      <c r="R13" s="7">
        <f>$B13 * IFERROR(VLOOKUP("electricity|PM25|Non-fatal heart attacks", US_national_yearly!$D:$AM, 26, FALSE) / VLOOKUP("electricity|PM25|Non-fatal heart attacks", US_national_yearly!$D:$AM, 10, FALSE), 1)</f>
        <v>1.4038696561701958E-4</v>
      </c>
      <c r="S13" s="7">
        <f>$B13 * IFERROR(VLOOKUP("electricity|PM25|Non-fatal heart attacks", US_national_yearly!$D:$AM, 27, FALSE) / VLOOKUP("electricity|PM25|Non-fatal heart attacks", US_national_yearly!$D:$AM, 10, FALSE), 1)</f>
        <v>1.412166587181882E-4</v>
      </c>
      <c r="T13" s="7">
        <f>$B13 * IFERROR(VLOOKUP("electricity|PM25|Non-fatal heart attacks", US_national_yearly!$D:$AM, 28, FALSE) / VLOOKUP("electricity|PM25|Non-fatal heart attacks", US_national_yearly!$D:$AM, 10, FALSE), 1)</f>
        <v>1.4204635181935683E-4</v>
      </c>
      <c r="U13" s="7">
        <f>$B13 * IFERROR(VLOOKUP("electricity|PM25|Non-fatal heart attacks", US_national_yearly!$D:$AM, 29, FALSE) / VLOOKUP("electricity|PM25|Non-fatal heart attacks", US_national_yearly!$D:$AM, 10, FALSE), 1)</f>
        <v>1.4287604492052545E-4</v>
      </c>
      <c r="V13" s="7">
        <f>$B13 * IFERROR(VLOOKUP("electricity|PM25|Non-fatal heart attacks", US_national_yearly!$D:$AM, 30, FALSE) / VLOOKUP("electricity|PM25|Non-fatal heart attacks", US_national_yearly!$D:$AM, 10, FALSE), 1)</f>
        <v>1.4370573802169404E-4</v>
      </c>
      <c r="W13" s="7">
        <f>$B13 * IFERROR(VLOOKUP("electricity|PM25|Non-fatal heart attacks", US_national_yearly!$D:$AM, 31, FALSE) / VLOOKUP("electricity|PM25|Non-fatal heart attacks", US_national_yearly!$D:$AM, 10, FALSE), 1)</f>
        <v>1.4453543112286269E-4</v>
      </c>
      <c r="X13" s="7">
        <f>$B13 * IFERROR(VLOOKUP("electricity|PM25|Non-fatal heart attacks", US_national_yearly!$D:$AM, 32, FALSE) / VLOOKUP("electricity|PM25|Non-fatal heart attacks", US_national_yearly!$D:$AM, 10, FALSE), 1)</f>
        <v>1.4518451313309068E-4</v>
      </c>
      <c r="Y13" s="7">
        <f>$B13 * IFERROR(VLOOKUP("electricity|PM25|Non-fatal heart attacks", US_national_yearly!$D:$AM, 33, FALSE) / VLOOKUP("electricity|PM25|Non-fatal heart attacks", US_national_yearly!$D:$AM, 10, FALSE), 1)</f>
        <v>1.4583359514331868E-4</v>
      </c>
      <c r="Z13" s="7">
        <f>$B13 * IFERROR(VLOOKUP("electricity|PM25|Non-fatal heart attacks", US_national_yearly!$D:$AM, 34, FALSE) / VLOOKUP("electricity|PM25|Non-fatal heart attacks", US_national_yearly!$D:$AM, 10, FALSE), 1)</f>
        <v>1.4648267715354667E-4</v>
      </c>
      <c r="AA13" s="7">
        <f>$B13 * IFERROR(VLOOKUP("electricity|PM25|Non-fatal heart attacks", US_national_yearly!$D:$AM, 35, FALSE) / VLOOKUP("electricity|PM25|Non-fatal heart attacks", US_national_yearly!$D:$AM, 10, FALSE), 1)</f>
        <v>1.471317591637747E-4</v>
      </c>
      <c r="AB13" s="7">
        <f>$B13 * IFERROR(VLOOKUP("electricity|PM25|Non-fatal heart attacks", US_national_yearly!$D:$AM, 36, FALSE) / VLOOKUP("electricity|PM25|Non-fatal heart attacks", US_national_yearly!$D:$AM, 10, FALSE), 1)</f>
        <v>1.4778084117400271E-4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0.10153449244937424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0.10175989219770663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0.10198529194603904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0.10221069169437143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0.10243609144270385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0.1027705585512934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0.10310502565988296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0.10369560349727232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0.10428618133466171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0.10487675917205108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0.10546733700944047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0.10605791484682983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0.10687721663225383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0.10769651841767786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0.10851582020310187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0.10933512198852589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0.11015442377394988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0.11098079245270843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0.11180716113146698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0.11263352981022551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0.11345989848898407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0.11428626716774259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0.11499463761338692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0.11570300805903128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0.11641137850467563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0.11711974895031994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0.11782811939596431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1.7295888735404212E-2</v>
      </c>
      <c r="C15" s="7">
        <f>$B15 * IFERROR(VLOOKUP("electricity|PM25|Work loss days", US_national_yearly!$D:$AM, 11, FALSE) / VLOOKUP("electricity|PM25|Work loss days", US_national_yearly!$D:$AM, 10, FALSE), 1)</f>
        <v>1.7345381920807319E-2</v>
      </c>
      <c r="D15" s="7">
        <f>$B15 * IFERROR(VLOOKUP("electricity|PM25|Work loss days", US_national_yearly!$D:$AM, 12, FALSE) / VLOOKUP("electricity|PM25|Work loss days", US_national_yearly!$D:$AM, 10, FALSE), 1)</f>
        <v>1.739487510621043E-2</v>
      </c>
      <c r="E15" s="7">
        <f>$B15 * IFERROR(VLOOKUP("electricity|PM25|Work loss days", US_national_yearly!$D:$AM, 13, FALSE) / VLOOKUP("electricity|PM25|Work loss days", US_national_yearly!$D:$AM, 10, FALSE), 1)</f>
        <v>1.7444368291613534E-2</v>
      </c>
      <c r="F15" s="7">
        <f>$B15 * IFERROR(VLOOKUP("electricity|PM25|Work loss days", US_national_yearly!$D:$AM, 14, FALSE) / VLOOKUP("electricity|PM25|Work loss days", US_national_yearly!$D:$AM, 10, FALSE), 1)</f>
        <v>1.7493861477016641E-2</v>
      </c>
      <c r="G15" s="7">
        <f>$B15 * IFERROR(VLOOKUP("electricity|PM25|Work loss days", US_national_yearly!$D:$AM, 15, FALSE) / VLOOKUP("electricity|PM25|Work loss days", US_national_yearly!$D:$AM, 10, FALSE), 1)</f>
        <v>1.7557977357981314E-2</v>
      </c>
      <c r="H15" s="7">
        <f>$B15 * IFERROR(VLOOKUP("electricity|PM25|Work loss days", US_national_yearly!$D:$AM, 16, FALSE) / VLOOKUP("electricity|PM25|Work loss days", US_national_yearly!$D:$AM, 10, FALSE), 1)</f>
        <v>1.7622093238945993E-2</v>
      </c>
      <c r="I15" s="7">
        <f>$B15 * IFERROR(VLOOKUP("electricity|PM25|Work loss days", US_national_yearly!$D:$AM, 17, FALSE) / VLOOKUP("electricity|PM25|Work loss days", US_national_yearly!$D:$AM, 10, FALSE), 1)</f>
        <v>1.7718480517604784E-2</v>
      </c>
      <c r="J15" s="7">
        <f>$B15 * IFERROR(VLOOKUP("electricity|PM25|Work loss days", US_national_yearly!$D:$AM, 18, FALSE) / VLOOKUP("electricity|PM25|Work loss days", US_national_yearly!$D:$AM, 10, FALSE), 1)</f>
        <v>1.7814867796263571E-2</v>
      </c>
      <c r="K15" s="7">
        <f>$B15 * IFERROR(VLOOKUP("electricity|PM25|Work loss days", US_national_yearly!$D:$AM, 19, FALSE) / VLOOKUP("electricity|PM25|Work loss days", US_national_yearly!$D:$AM, 10, FALSE), 1)</f>
        <v>1.7911255074922361E-2</v>
      </c>
      <c r="L15" s="7">
        <f>$B15 * IFERROR(VLOOKUP("electricity|PM25|Work loss days", US_national_yearly!$D:$AM, 20, FALSE) / VLOOKUP("electricity|PM25|Work loss days", US_national_yearly!$D:$AM, 10, FALSE), 1)</f>
        <v>1.8007642353581151E-2</v>
      </c>
      <c r="M15" s="7">
        <f>$B15 * IFERROR(VLOOKUP("electricity|PM25|Work loss days", US_national_yearly!$D:$AM, 21, FALSE) / VLOOKUP("electricity|PM25|Work loss days", US_national_yearly!$D:$AM, 10, FALSE), 1)</f>
        <v>1.8104029632239942E-2</v>
      </c>
      <c r="N15" s="7">
        <f>$B15 * IFERROR(VLOOKUP("electricity|PM25|Work loss days", US_national_yearly!$D:$AM, 22, FALSE) / VLOOKUP("electricity|PM25|Work loss days", US_national_yearly!$D:$AM, 10, FALSE), 1)</f>
        <v>1.822847230043196E-2</v>
      </c>
      <c r="O15" s="7">
        <f>$B15 * IFERROR(VLOOKUP("electricity|PM25|Work loss days", US_national_yearly!$D:$AM, 23, FALSE) / VLOOKUP("electricity|PM25|Work loss days", US_national_yearly!$D:$AM, 10, FALSE), 1)</f>
        <v>1.8352914968623974E-2</v>
      </c>
      <c r="P15" s="7">
        <f>$B15 * IFERROR(VLOOKUP("electricity|PM25|Work loss days", US_national_yearly!$D:$AM, 24, FALSE) / VLOOKUP("electricity|PM25|Work loss days", US_national_yearly!$D:$AM, 10, FALSE), 1)</f>
        <v>1.8477357636815985E-2</v>
      </c>
      <c r="Q15" s="7">
        <f>$B15 * IFERROR(VLOOKUP("electricity|PM25|Work loss days", US_national_yearly!$D:$AM, 25, FALSE) / VLOOKUP("electricity|PM25|Work loss days", US_national_yearly!$D:$AM, 10, FALSE), 1)</f>
        <v>1.8601800305007996E-2</v>
      </c>
      <c r="R15" s="7">
        <f>$B15 * IFERROR(VLOOKUP("electricity|PM25|Work loss days", US_national_yearly!$D:$AM, 26, FALSE) / VLOOKUP("electricity|PM25|Work loss days", US_national_yearly!$D:$AM, 10, FALSE), 1)</f>
        <v>1.8726242973200014E-2</v>
      </c>
      <c r="S15" s="7">
        <f>$B15 * IFERROR(VLOOKUP("electricity|PM25|Work loss days", US_national_yearly!$D:$AM, 27, FALSE) / VLOOKUP("electricity|PM25|Work loss days", US_national_yearly!$D:$AM, 10, FALSE), 1)</f>
        <v>1.8864330392314884E-2</v>
      </c>
      <c r="T15" s="7">
        <f>$B15 * IFERROR(VLOOKUP("electricity|PM25|Work loss days", US_national_yearly!$D:$AM, 28, FALSE) / VLOOKUP("electricity|PM25|Work loss days", US_national_yearly!$D:$AM, 10, FALSE), 1)</f>
        <v>1.9002417811429757E-2</v>
      </c>
      <c r="U15" s="7">
        <f>$B15 * IFERROR(VLOOKUP("electricity|PM25|Work loss days", US_national_yearly!$D:$AM, 29, FALSE) / VLOOKUP("electricity|PM25|Work loss days", US_national_yearly!$D:$AM, 10, FALSE), 1)</f>
        <v>1.9140505230544631E-2</v>
      </c>
      <c r="V15" s="7">
        <f>$B15 * IFERROR(VLOOKUP("electricity|PM25|Work loss days", US_national_yearly!$D:$AM, 30, FALSE) / VLOOKUP("electricity|PM25|Work loss days", US_national_yearly!$D:$AM, 10, FALSE), 1)</f>
        <v>1.9278592649659507E-2</v>
      </c>
      <c r="W15" s="7">
        <f>$B15 * IFERROR(VLOOKUP("electricity|PM25|Work loss days", US_national_yearly!$D:$AM, 31, FALSE) / VLOOKUP("electricity|PM25|Work loss days", US_national_yearly!$D:$AM, 10, FALSE), 1)</f>
        <v>1.9416680068774377E-2</v>
      </c>
      <c r="X15" s="7">
        <f>$B15 * IFERROR(VLOOKUP("electricity|PM25|Work loss days", US_national_yearly!$D:$AM, 32, FALSE) / VLOOKUP("electricity|PM25|Work loss days", US_national_yearly!$D:$AM, 10, FALSE), 1)</f>
        <v>1.9538495830573981E-2</v>
      </c>
      <c r="Y15" s="7">
        <f>$B15 * IFERROR(VLOOKUP("electricity|PM25|Work loss days", US_national_yearly!$D:$AM, 33, FALSE) / VLOOKUP("electricity|PM25|Work loss days", US_national_yearly!$D:$AM, 10, FALSE), 1)</f>
        <v>1.9660311592373574E-2</v>
      </c>
      <c r="Z15" s="7">
        <f>$B15 * IFERROR(VLOOKUP("electricity|PM25|Work loss days", US_national_yearly!$D:$AM, 34, FALSE) / VLOOKUP("electricity|PM25|Work loss days", US_national_yearly!$D:$AM, 10, FALSE), 1)</f>
        <v>1.9782127354173173E-2</v>
      </c>
      <c r="AA15" s="7">
        <f>$B15 * IFERROR(VLOOKUP("electricity|PM25|Work loss days", US_national_yearly!$D:$AM, 35, FALSE) / VLOOKUP("electricity|PM25|Work loss days", US_national_yearly!$D:$AM, 10, FALSE), 1)</f>
        <v>1.9903943115972773E-2</v>
      </c>
      <c r="AB15" s="7">
        <f>$B15 * IFERROR(VLOOKUP("electricity|PM25|Work loss days", US_national_yearly!$D:$AM, 36, FALSE) / VLOOKUP("electricity|PM25|Work loss days", US_national_yearly!$D:$AM, 10, FALSE), 1)</f>
        <v>2.0025758877772373E-2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2.2075924743574119E-5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2.2731025805094037E-5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2.3386126866613951E-5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2.4041227928133868E-5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2.4696328989653783E-5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2.5328172947171082E-5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2.5960016904688382E-5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2.6507370357076708E-5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2.7054723809465034E-5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2.7602077261853356E-5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2.8149430714241682E-5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2.8696784166630004E-5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2.9064727703046061E-5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2.9432671239462114E-5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2.9800614775878164E-5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3.016855831229422E-5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3.0536501848710273E-5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3.0739570377595691E-5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3.0942638906481096E-5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3.1145707435366513E-5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3.1348775964251925E-5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3.1551844493137336E-5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3.1693516096147958E-5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3.1835187699158573E-5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3.1976859302169188E-5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3.2118530905179817E-5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3.2260202508190433E-5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3.1246656058379916E-5</v>
      </c>
      <c r="C2" s="7">
        <f>$B2 * IFERROR(VLOOKUP("electricity|NOx|Premature mortality", US_national_yearly!$D:$AM, 11, FALSE) / VLOOKUP("electricity|NOx|Premature mortality", US_national_yearly!$D:$AM, 10, FALSE), 1)</f>
        <v>3.1719437765783549E-5</v>
      </c>
      <c r="D2" s="7">
        <f>$B2 * IFERROR(VLOOKUP("electricity|NOx|Premature mortality", US_national_yearly!$D:$AM, 12, FALSE) / VLOOKUP("electricity|NOx|Premature mortality", US_national_yearly!$D:$AM, 10, FALSE), 1)</f>
        <v>3.2192219473187189E-5</v>
      </c>
      <c r="E2" s="7">
        <f>$B2 * IFERROR(VLOOKUP("electricity|NOx|Premature mortality", US_national_yearly!$D:$AM, 13, FALSE) / VLOOKUP("electricity|NOx|Premature mortality", US_national_yearly!$D:$AM, 10, FALSE), 1)</f>
        <v>3.2665001180590829E-5</v>
      </c>
      <c r="F2" s="7">
        <f>$B2 * IFERROR(VLOOKUP("electricity|NOx|Premature mortality", US_national_yearly!$D:$AM, 14, FALSE) / VLOOKUP("electricity|NOx|Premature mortality", US_national_yearly!$D:$AM, 10, FALSE), 1)</f>
        <v>3.3137782887994462E-5</v>
      </c>
      <c r="G2" s="7">
        <f>$B2 * IFERROR(VLOOKUP("electricity|NOx|Premature mortality", US_national_yearly!$D:$AM, 15, FALSE) / VLOOKUP("electricity|NOx|Premature mortality", US_national_yearly!$D:$AM, 10, FALSE), 1)</f>
        <v>3.3982345138871443E-5</v>
      </c>
      <c r="H2" s="7">
        <f>$B2 * IFERROR(VLOOKUP("electricity|NOx|Premature mortality", US_national_yearly!$D:$AM, 16, FALSE) / VLOOKUP("electricity|NOx|Premature mortality", US_national_yearly!$D:$AM, 10, FALSE), 1)</f>
        <v>3.482690738974841E-5</v>
      </c>
      <c r="I2" s="7">
        <f>$B2 * IFERROR(VLOOKUP("electricity|NOx|Premature mortality", US_national_yearly!$D:$AM, 17, FALSE) / VLOOKUP("electricity|NOx|Premature mortality", US_national_yearly!$D:$AM, 10, FALSE), 1)</f>
        <v>3.5388153695683751E-5</v>
      </c>
      <c r="J2" s="7">
        <f>$B2 * IFERROR(VLOOKUP("electricity|NOx|Premature mortality", US_national_yearly!$D:$AM, 18, FALSE) / VLOOKUP("electricity|NOx|Premature mortality", US_national_yearly!$D:$AM, 10, FALSE), 1)</f>
        <v>3.5949400001619098E-5</v>
      </c>
      <c r="K2" s="7">
        <f>$B2 * IFERROR(VLOOKUP("electricity|NOx|Premature mortality", US_national_yearly!$D:$AM, 19, FALSE) / VLOOKUP("electricity|NOx|Premature mortality", US_national_yearly!$D:$AM, 10, FALSE), 1)</f>
        <v>3.6510646307554432E-5</v>
      </c>
      <c r="L2" s="7">
        <f>$B2 * IFERROR(VLOOKUP("electricity|NOx|Premature mortality", US_national_yearly!$D:$AM, 20, FALSE) / VLOOKUP("electricity|NOx|Premature mortality", US_national_yearly!$D:$AM, 10, FALSE), 1)</f>
        <v>3.7071892613489773E-5</v>
      </c>
      <c r="M2" s="7">
        <f>$B2 * IFERROR(VLOOKUP("electricity|NOx|Premature mortality", US_national_yearly!$D:$AM, 21, FALSE) / VLOOKUP("electricity|NOx|Premature mortality", US_national_yearly!$D:$AM, 10, FALSE), 1)</f>
        <v>3.7633138919425107E-5</v>
      </c>
      <c r="N2" s="7">
        <f>$B2 * IFERROR(VLOOKUP("electricity|NOx|Premature mortality", US_national_yearly!$D:$AM, 22, FALSE) / VLOOKUP("electricity|NOx|Premature mortality", US_national_yearly!$D:$AM, 10, FALSE), 1)</f>
        <v>3.8066205327269406E-5</v>
      </c>
      <c r="O2" s="7">
        <f>$B2 * IFERROR(VLOOKUP("electricity|NOx|Premature mortality", US_national_yearly!$D:$AM, 23, FALSE) / VLOOKUP("electricity|NOx|Premature mortality", US_national_yearly!$D:$AM, 10, FALSE), 1)</f>
        <v>3.8499271735113725E-5</v>
      </c>
      <c r="P2" s="7">
        <f>$B2 * IFERROR(VLOOKUP("electricity|NOx|Premature mortality", US_national_yearly!$D:$AM, 24, FALSE) / VLOOKUP("electricity|NOx|Premature mortality", US_national_yearly!$D:$AM, 10, FALSE), 1)</f>
        <v>3.8932338142958023E-5</v>
      </c>
      <c r="Q2" s="7">
        <f>$B2 * IFERROR(VLOOKUP("electricity|NOx|Premature mortality", US_national_yearly!$D:$AM, 25, FALSE) / VLOOKUP("electricity|NOx|Premature mortality", US_national_yearly!$D:$AM, 10, FALSE), 1)</f>
        <v>3.9365404550802329E-5</v>
      </c>
      <c r="R2" s="7">
        <f>$B2 * IFERROR(VLOOKUP("electricity|NOx|Premature mortality", US_national_yearly!$D:$AM, 26, FALSE) / VLOOKUP("electricity|NOx|Premature mortality", US_national_yearly!$D:$AM, 10, FALSE), 1)</f>
        <v>3.9798470958646628E-5</v>
      </c>
      <c r="S2" s="7">
        <f>$B2 * IFERROR(VLOOKUP("electricity|NOx|Premature mortality", US_national_yearly!$D:$AM, 27, FALSE) / VLOOKUP("electricity|NOx|Premature mortality", US_national_yearly!$D:$AM, 10, FALSE), 1)</f>
        <v>4.0022254504375735E-5</v>
      </c>
      <c r="T2" s="7">
        <f>$B2 * IFERROR(VLOOKUP("electricity|NOx|Premature mortality", US_national_yearly!$D:$AM, 28, FALSE) / VLOOKUP("electricity|NOx|Premature mortality", US_national_yearly!$D:$AM, 10, FALSE), 1)</f>
        <v>4.0246038050104849E-5</v>
      </c>
      <c r="U2" s="7">
        <f>$B2 * IFERROR(VLOOKUP("electricity|NOx|Premature mortality", US_national_yearly!$D:$AM, 29, FALSE) / VLOOKUP("electricity|NOx|Premature mortality", US_national_yearly!$D:$AM, 10, FALSE), 1)</f>
        <v>4.0469821595833971E-5</v>
      </c>
      <c r="V2" s="7">
        <f>$B2 * IFERROR(VLOOKUP("electricity|NOx|Premature mortality", US_national_yearly!$D:$AM, 30, FALSE) / VLOOKUP("electricity|NOx|Premature mortality", US_national_yearly!$D:$AM, 10, FALSE), 1)</f>
        <v>4.0693605141563085E-5</v>
      </c>
      <c r="W2" s="7">
        <f>$B2 * IFERROR(VLOOKUP("electricity|NOx|Premature mortality", US_national_yearly!$D:$AM, 31, FALSE) / VLOOKUP("electricity|NOx|Premature mortality", US_national_yearly!$D:$AM, 10, FALSE), 1)</f>
        <v>4.0917388687292192E-5</v>
      </c>
      <c r="X2" s="7">
        <f>$B2 * IFERROR(VLOOKUP("electricity|NOx|Premature mortality", US_national_yearly!$D:$AM, 32, FALSE) / VLOOKUP("electricity|NOx|Premature mortality", US_national_yearly!$D:$AM, 10, FALSE), 1)</f>
        <v>4.0968015477453444E-5</v>
      </c>
      <c r="Y2" s="7">
        <f>$B2 * IFERROR(VLOOKUP("electricity|NOx|Premature mortality", US_national_yearly!$D:$AM, 33, FALSE) / VLOOKUP("electricity|NOx|Premature mortality", US_national_yearly!$D:$AM, 10, FALSE), 1)</f>
        <v>4.1018642267614688E-5</v>
      </c>
      <c r="Z2" s="7">
        <f>$B2 * IFERROR(VLOOKUP("electricity|NOx|Premature mortality", US_national_yearly!$D:$AM, 34, FALSE) / VLOOKUP("electricity|NOx|Premature mortality", US_national_yearly!$D:$AM, 10, FALSE), 1)</f>
        <v>4.1069269057775933E-5</v>
      </c>
      <c r="AA2" s="7">
        <f>$B2 * IFERROR(VLOOKUP("electricity|NOx|Premature mortality", US_national_yearly!$D:$AM, 35, FALSE) / VLOOKUP("electricity|NOx|Premature mortality", US_national_yearly!$D:$AM, 10, FALSE), 1)</f>
        <v>4.1119895847937171E-5</v>
      </c>
      <c r="AB2" s="7">
        <f>$B2 * IFERROR(VLOOKUP("electricity|NOx|Premature mortality", US_national_yearly!$D:$AM, 36, FALSE) / VLOOKUP("electricity|NOx|Premature mortality", US_national_yearly!$D:$AM, 10, FALSE), 1)</f>
        <v>4.1170522638098415E-5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8.331916435721839E-8</v>
      </c>
      <c r="C3" s="7">
        <f>$B3 * IFERROR(VLOOKUP("electricity|NOx|Infant mortality", US_national_yearly!$D:$AM, 11, FALSE) / VLOOKUP("electricity|NOx|Infant mortality", US_national_yearly!$D:$AM, 10, FALSE), 1)</f>
        <v>8.2539665970126712E-8</v>
      </c>
      <c r="D3" s="7">
        <f>$B3 * IFERROR(VLOOKUP("electricity|NOx|Infant mortality", US_national_yearly!$D:$AM, 12, FALSE) / VLOOKUP("electricity|NOx|Infant mortality", US_national_yearly!$D:$AM, 10, FALSE), 1)</f>
        <v>8.1760167583035021E-8</v>
      </c>
      <c r="E3" s="7">
        <f>$B3 * IFERROR(VLOOKUP("electricity|NOx|Infant mortality", US_national_yearly!$D:$AM, 13, FALSE) / VLOOKUP("electricity|NOx|Infant mortality", US_national_yearly!$D:$AM, 10, FALSE), 1)</f>
        <v>8.0980669195943357E-8</v>
      </c>
      <c r="F3" s="7">
        <f>$B3 * IFERROR(VLOOKUP("electricity|NOx|Infant mortality", US_national_yearly!$D:$AM, 14, FALSE) / VLOOKUP("electricity|NOx|Infant mortality", US_national_yearly!$D:$AM, 10, FALSE), 1)</f>
        <v>8.0201170808851666E-8</v>
      </c>
      <c r="G3" s="7">
        <f>$B3 * IFERROR(VLOOKUP("electricity|NOx|Infant mortality", US_national_yearly!$D:$AM, 15, FALSE) / VLOOKUP("electricity|NOx|Infant mortality", US_national_yearly!$D:$AM, 10, FALSE), 1)</f>
        <v>5.3137249116763715E-8</v>
      </c>
      <c r="H3" s="7">
        <f>$B3 * IFERROR(VLOOKUP("electricity|NOx|Infant mortality", US_national_yearly!$D:$AM, 16, FALSE) / VLOOKUP("electricity|NOx|Infant mortality", US_national_yearly!$D:$AM, 10, FALSE), 1)</f>
        <v>2.6073327424675777E-8</v>
      </c>
      <c r="I3" s="7">
        <f>$B3 * IFERROR(VLOOKUP("electricity|NOx|Infant mortality", US_national_yearly!$D:$AM, 17, FALSE) / VLOOKUP("electricity|NOx|Infant mortality", US_national_yearly!$D:$AM, 10, FALSE), 1)</f>
        <v>2.5883707939660246E-8</v>
      </c>
      <c r="J3" s="7">
        <f>$B3 * IFERROR(VLOOKUP("electricity|NOx|Infant mortality", US_national_yearly!$D:$AM, 18, FALSE) / VLOOKUP("electricity|NOx|Infant mortality", US_national_yearly!$D:$AM, 10, FALSE), 1)</f>
        <v>2.5694088454644713E-8</v>
      </c>
      <c r="K3" s="7">
        <f>$B3 * IFERROR(VLOOKUP("electricity|NOx|Infant mortality", US_national_yearly!$D:$AM, 19, FALSE) / VLOOKUP("electricity|NOx|Infant mortality", US_national_yearly!$D:$AM, 10, FALSE), 1)</f>
        <v>2.5504468969629182E-8</v>
      </c>
      <c r="L3" s="7">
        <f>$B3 * IFERROR(VLOOKUP("electricity|NOx|Infant mortality", US_national_yearly!$D:$AM, 20, FALSE) / VLOOKUP("electricity|NOx|Infant mortality", US_national_yearly!$D:$AM, 10, FALSE), 1)</f>
        <v>2.5314849484613652E-8</v>
      </c>
      <c r="M3" s="7">
        <f>$B3 * IFERROR(VLOOKUP("electricity|NOx|Infant mortality", US_national_yearly!$D:$AM, 21, FALSE) / VLOOKUP("electricity|NOx|Infant mortality", US_national_yearly!$D:$AM, 10, FALSE), 1)</f>
        <v>2.5125229999598118E-8</v>
      </c>
      <c r="N3" s="7">
        <f>$B3 * IFERROR(VLOOKUP("electricity|NOx|Infant mortality", US_national_yearly!$D:$AM, 22, FALSE) / VLOOKUP("electricity|NOx|Infant mortality", US_national_yearly!$D:$AM, 10, FALSE), 1)</f>
        <v>2.4997899153295766E-8</v>
      </c>
      <c r="O3" s="7">
        <f>$B3 * IFERROR(VLOOKUP("electricity|NOx|Infant mortality", US_national_yearly!$D:$AM, 23, FALSE) / VLOOKUP("electricity|NOx|Infant mortality", US_national_yearly!$D:$AM, 10, FALSE), 1)</f>
        <v>2.487056830699341E-8</v>
      </c>
      <c r="P3" s="7">
        <f>$B3 * IFERROR(VLOOKUP("electricity|NOx|Infant mortality", US_national_yearly!$D:$AM, 24, FALSE) / VLOOKUP("electricity|NOx|Infant mortality", US_national_yearly!$D:$AM, 10, FALSE), 1)</f>
        <v>2.4743237460691054E-8</v>
      </c>
      <c r="Q3" s="7">
        <f>$B3 * IFERROR(VLOOKUP("electricity|NOx|Infant mortality", US_national_yearly!$D:$AM, 25, FALSE) / VLOOKUP("electricity|NOx|Infant mortality", US_national_yearly!$D:$AM, 10, FALSE), 1)</f>
        <v>2.4615906614388698E-8</v>
      </c>
      <c r="R3" s="7">
        <f>$B3 * IFERROR(VLOOKUP("electricity|NOx|Infant mortality", US_national_yearly!$D:$AM, 26, FALSE) / VLOOKUP("electricity|NOx|Infant mortality", US_national_yearly!$D:$AM, 10, FALSE), 1)</f>
        <v>2.4488575768086348E-8</v>
      </c>
      <c r="S3" s="7">
        <f>$B3 * IFERROR(VLOOKUP("electricity|NOx|Infant mortality", US_national_yearly!$D:$AM, 27, FALSE) / VLOOKUP("electricity|NOx|Infant mortality", US_national_yearly!$D:$AM, 10, FALSE), 1)</f>
        <v>2.4337411879562447E-8</v>
      </c>
      <c r="T3" s="7">
        <f>$B3 * IFERROR(VLOOKUP("electricity|NOx|Infant mortality", US_national_yearly!$D:$AM, 28, FALSE) / VLOOKUP("electricity|NOx|Infant mortality", US_national_yearly!$D:$AM, 10, FALSE), 1)</f>
        <v>2.4186247991038549E-8</v>
      </c>
      <c r="U3" s="7">
        <f>$B3 * IFERROR(VLOOKUP("electricity|NOx|Infant mortality", US_national_yearly!$D:$AM, 29, FALSE) / VLOOKUP("electricity|NOx|Infant mortality", US_national_yearly!$D:$AM, 10, FALSE), 1)</f>
        <v>2.4035084102514654E-8</v>
      </c>
      <c r="V3" s="7">
        <f>$B3 * IFERROR(VLOOKUP("electricity|NOx|Infant mortality", US_national_yearly!$D:$AM, 30, FALSE) / VLOOKUP("electricity|NOx|Infant mortality", US_national_yearly!$D:$AM, 10, FALSE), 1)</f>
        <v>2.3883920213990759E-8</v>
      </c>
      <c r="W3" s="7">
        <f>$B3 * IFERROR(VLOOKUP("electricity|NOx|Infant mortality", US_national_yearly!$D:$AM, 31, FALSE) / VLOOKUP("electricity|NOx|Infant mortality", US_national_yearly!$D:$AM, 10, FALSE), 1)</f>
        <v>2.3732756325466858E-8</v>
      </c>
      <c r="X3" s="7">
        <f>$B3 * IFERROR(VLOOKUP("electricity|NOx|Infant mortality", US_national_yearly!$D:$AM, 32, FALSE) / VLOOKUP("electricity|NOx|Infant mortality", US_national_yearly!$D:$AM, 10, FALSE), 1)</f>
        <v>2.3577106743463814E-8</v>
      </c>
      <c r="Y3" s="7">
        <f>$B3 * IFERROR(VLOOKUP("electricity|NOx|Infant mortality", US_national_yearly!$D:$AM, 33, FALSE) / VLOOKUP("electricity|NOx|Infant mortality", US_national_yearly!$D:$AM, 10, FALSE), 1)</f>
        <v>2.342145716146077E-8</v>
      </c>
      <c r="Z3" s="7">
        <f>$B3 * IFERROR(VLOOKUP("electricity|NOx|Infant mortality", US_national_yearly!$D:$AM, 34, FALSE) / VLOOKUP("electricity|NOx|Infant mortality", US_national_yearly!$D:$AM, 10, FALSE), 1)</f>
        <v>2.3265807579457723E-8</v>
      </c>
      <c r="AA3" s="7">
        <f>$B3 * IFERROR(VLOOKUP("electricity|NOx|Infant mortality", US_national_yearly!$D:$AM, 35, FALSE) / VLOOKUP("electricity|NOx|Infant mortality", US_national_yearly!$D:$AM, 10, FALSE), 1)</f>
        <v>2.311015799745468E-8</v>
      </c>
      <c r="AB3" s="7">
        <f>$B3 * IFERROR(VLOOKUP("electricity|NOx|Infant mortality", US_national_yearly!$D:$AM, 36, FALSE) / VLOOKUP("electricity|NOx|Infant mortality", US_national_yearly!$D:$AM, 10, FALSE), 1)</f>
        <v>2.2954508415451633E-8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9.6897731650156223E-5</v>
      </c>
      <c r="C6" s="7">
        <f>$B6 * IFERROR(VLOOKUP("electricity|NOx|Asthma symptoms cough", US_national_yearly!$D:$AM, 11, FALSE) / VLOOKUP("electricity|NOx|Asthma symptoms cough", US_national_yearly!$D:$AM, 10, FALSE), 1)</f>
        <v>9.8228014537264278E-5</v>
      </c>
      <c r="D6" s="7">
        <f>$B6 * IFERROR(VLOOKUP("electricity|NOx|Asthma symptoms cough", US_national_yearly!$D:$AM, 12, FALSE) / VLOOKUP("electricity|NOx|Asthma symptoms cough", US_national_yearly!$D:$AM, 10, FALSE), 1)</f>
        <v>9.9558297424372347E-5</v>
      </c>
      <c r="E6" s="7">
        <f>$B6 * IFERROR(VLOOKUP("electricity|NOx|Asthma symptoms cough", US_national_yearly!$D:$AM, 13, FALSE) / VLOOKUP("electricity|NOx|Asthma symptoms cough", US_national_yearly!$D:$AM, 10, FALSE), 1)</f>
        <v>1.008885803114804E-4</v>
      </c>
      <c r="F6" s="7">
        <f>$B6 * IFERROR(VLOOKUP("electricity|NOx|Asthma symptoms cough", US_national_yearly!$D:$AM, 14, FALSE) / VLOOKUP("electricity|NOx|Asthma symptoms cough", US_national_yearly!$D:$AM, 10, FALSE), 1)</f>
        <v>1.0221886319858846E-4</v>
      </c>
      <c r="G6" s="7">
        <f>$B6 * IFERROR(VLOOKUP("electricity|NOx|Asthma symptoms cough", US_national_yearly!$D:$AM, 15, FALSE) / VLOOKUP("electricity|NOx|Asthma symptoms cough", US_national_yearly!$D:$AM, 10, FALSE), 1)</f>
        <v>1.0330045372038656E-4</v>
      </c>
      <c r="H6" s="7">
        <f>$B6 * IFERROR(VLOOKUP("electricity|NOx|Asthma symptoms cough", US_national_yearly!$D:$AM, 16, FALSE) / VLOOKUP("electricity|NOx|Asthma symptoms cough", US_national_yearly!$D:$AM, 10, FALSE), 1)</f>
        <v>1.0438204424218467E-4</v>
      </c>
      <c r="I6" s="7">
        <f>$B6 * IFERROR(VLOOKUP("electricity|NOx|Asthma symptoms cough", US_national_yearly!$D:$AM, 17, FALSE) / VLOOKUP("electricity|NOx|Asthma symptoms cough", US_national_yearly!$D:$AM, 10, FALSE), 1)</f>
        <v>1.0478411258553563E-4</v>
      </c>
      <c r="J6" s="7">
        <f>$B6 * IFERROR(VLOOKUP("electricity|NOx|Asthma symptoms cough", US_national_yearly!$D:$AM, 18, FALSE) / VLOOKUP("electricity|NOx|Asthma symptoms cough", US_national_yearly!$D:$AM, 10, FALSE), 1)</f>
        <v>1.0518618092888657E-4</v>
      </c>
      <c r="K6" s="7">
        <f>$B6 * IFERROR(VLOOKUP("electricity|NOx|Asthma symptoms cough", US_national_yearly!$D:$AM, 19, FALSE) / VLOOKUP("electricity|NOx|Asthma symptoms cough", US_national_yearly!$D:$AM, 10, FALSE), 1)</f>
        <v>1.0558824927223756E-4</v>
      </c>
      <c r="L6" s="7">
        <f>$B6 * IFERROR(VLOOKUP("electricity|NOx|Asthma symptoms cough", US_national_yearly!$D:$AM, 20, FALSE) / VLOOKUP("electricity|NOx|Asthma symptoms cough", US_national_yearly!$D:$AM, 10, FALSE), 1)</f>
        <v>1.059903176155885E-4</v>
      </c>
      <c r="M6" s="7">
        <f>$B6 * IFERROR(VLOOKUP("electricity|NOx|Asthma symptoms cough", US_national_yearly!$D:$AM, 21, FALSE) / VLOOKUP("electricity|NOx|Asthma symptoms cough", US_national_yearly!$D:$AM, 10, FALSE), 1)</f>
        <v>1.0639238595893947E-4</v>
      </c>
      <c r="N6" s="7">
        <f>$B6 * IFERROR(VLOOKUP("electricity|NOx|Asthma symptoms cough", US_national_yearly!$D:$AM, 22, FALSE) / VLOOKUP("electricity|NOx|Asthma symptoms cough", US_national_yearly!$D:$AM, 10, FALSE), 1)</f>
        <v>1.0683787433433339E-4</v>
      </c>
      <c r="O6" s="7">
        <f>$B6 * IFERROR(VLOOKUP("electricity|NOx|Asthma symptoms cough", US_national_yearly!$D:$AM, 23, FALSE) / VLOOKUP("electricity|NOx|Asthma symptoms cough", US_national_yearly!$D:$AM, 10, FALSE), 1)</f>
        <v>1.0728336270972733E-4</v>
      </c>
      <c r="P6" s="7">
        <f>$B6 * IFERROR(VLOOKUP("electricity|NOx|Asthma symptoms cough", US_national_yearly!$D:$AM, 24, FALSE) / VLOOKUP("electricity|NOx|Asthma symptoms cough", US_national_yearly!$D:$AM, 10, FALSE), 1)</f>
        <v>1.0772885108512125E-4</v>
      </c>
      <c r="Q6" s="7">
        <f>$B6 * IFERROR(VLOOKUP("electricity|NOx|Asthma symptoms cough", US_national_yearly!$D:$AM, 25, FALSE) / VLOOKUP("electricity|NOx|Asthma symptoms cough", US_national_yearly!$D:$AM, 10, FALSE), 1)</f>
        <v>1.0817433946051518E-4</v>
      </c>
      <c r="R6" s="7">
        <f>$B6 * IFERROR(VLOOKUP("electricity|NOx|Asthma symptoms cough", US_national_yearly!$D:$AM, 26, FALSE) / VLOOKUP("electricity|NOx|Asthma symptoms cough", US_national_yearly!$D:$AM, 10, FALSE), 1)</f>
        <v>1.086198278359091E-4</v>
      </c>
      <c r="S6" s="7">
        <f>$B6 * IFERROR(VLOOKUP("electricity|NOx|Asthma symptoms cough", US_national_yearly!$D:$AM, 27, FALSE) / VLOOKUP("electricity|NOx|Asthma symptoms cough", US_national_yearly!$D:$AM, 10, FALSE), 1)</f>
        <v>1.0917561560830181E-4</v>
      </c>
      <c r="T6" s="7">
        <f>$B6 * IFERROR(VLOOKUP("electricity|NOx|Asthma symptoms cough", US_national_yearly!$D:$AM, 28, FALSE) / VLOOKUP("electricity|NOx|Asthma symptoms cough", US_national_yearly!$D:$AM, 10, FALSE), 1)</f>
        <v>1.0973140338069449E-4</v>
      </c>
      <c r="U6" s="7">
        <f>$B6 * IFERROR(VLOOKUP("electricity|NOx|Asthma symptoms cough", US_national_yearly!$D:$AM, 29, FALSE) / VLOOKUP("electricity|NOx|Asthma symptoms cough", US_national_yearly!$D:$AM, 10, FALSE), 1)</f>
        <v>1.1028719115308721E-4</v>
      </c>
      <c r="V6" s="7">
        <f>$B6 * IFERROR(VLOOKUP("electricity|NOx|Asthma symptoms cough", US_national_yearly!$D:$AM, 30, FALSE) / VLOOKUP("electricity|NOx|Asthma symptoms cough", US_national_yearly!$D:$AM, 10, FALSE), 1)</f>
        <v>1.108429789254799E-4</v>
      </c>
      <c r="W6" s="7">
        <f>$B6 * IFERROR(VLOOKUP("electricity|NOx|Asthma symptoms cough", US_national_yearly!$D:$AM, 31, FALSE) / VLOOKUP("electricity|NOx|Asthma symptoms cough", US_national_yearly!$D:$AM, 10, FALSE), 1)</f>
        <v>1.113987666978726E-4</v>
      </c>
      <c r="X6" s="7">
        <f>$B6 * IFERROR(VLOOKUP("electricity|NOx|Asthma symptoms cough", US_national_yearly!$D:$AM, 32, FALSE) / VLOOKUP("electricity|NOx|Asthma symptoms cough", US_national_yearly!$D:$AM, 10, FALSE), 1)</f>
        <v>1.1191081768255847E-4</v>
      </c>
      <c r="Y6" s="7">
        <f>$B6 * IFERROR(VLOOKUP("electricity|NOx|Asthma symptoms cough", US_national_yearly!$D:$AM, 33, FALSE) / VLOOKUP("electricity|NOx|Asthma symptoms cough", US_national_yearly!$D:$AM, 10, FALSE), 1)</f>
        <v>1.1242286866724437E-4</v>
      </c>
      <c r="Z6" s="7">
        <f>$B6 * IFERROR(VLOOKUP("electricity|NOx|Asthma symptoms cough", US_national_yearly!$D:$AM, 34, FALSE) / VLOOKUP("electricity|NOx|Asthma symptoms cough", US_national_yearly!$D:$AM, 10, FALSE), 1)</f>
        <v>1.1293491965193025E-4</v>
      </c>
      <c r="AA6" s="7">
        <f>$B6 * IFERROR(VLOOKUP("electricity|NOx|Asthma symptoms cough", US_national_yearly!$D:$AM, 35, FALSE) / VLOOKUP("electricity|NOx|Asthma symptoms cough", US_national_yearly!$D:$AM, 10, FALSE), 1)</f>
        <v>1.1344697063661612E-4</v>
      </c>
      <c r="AB6" s="7">
        <f>$B6 * IFERROR(VLOOKUP("electricity|NOx|Asthma symptoms cough", US_national_yearly!$D:$AM, 36, FALSE) / VLOOKUP("electricity|NOx|Asthma symptoms cough", US_national_yearly!$D:$AM, 10, FALSE), 1)</f>
        <v>1.1395902162130202E-4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1.3048657604541869E-4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1.3227799113667651E-4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1.3406940622793438E-4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1.358608213191922E-4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1.3765223641045002E-4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1.3910875186262959E-4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1.4056526731480912E-4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1.4110670951440204E-4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1.4164815171399488E-4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1.4218959391358777E-4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1.4273103611318064E-4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1.4327247831277351E-4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1.4387239176108591E-4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1.4447230520939832E-4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1.4507221865771072E-4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1.4567213210602313E-4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1.4627204555433553E-4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1.4702049282779711E-4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1.4776894010125867E-4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1.4851738737472027E-4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1.4926583464818183E-4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1.5001428192164341E-4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1.5070383139028449E-4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1.5139338085892563E-4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1.5208293032756672E-4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1.527724797962078E-4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1.5346202926484891E-4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1.9936237309174312E-4</v>
      </c>
      <c r="C8" s="7">
        <f>$B8 * IFERROR(VLOOKUP("electricity|NOx|Asthma symptoms wheeze", US_national_yearly!$D:$AM, 11, FALSE) / VLOOKUP("electricity|NOx|Asthma symptoms wheeze", US_national_yearly!$D:$AM, 10, FALSE), 1)</f>
        <v>2.0209936547197638E-4</v>
      </c>
      <c r="D8" s="7">
        <f>$B8 * IFERROR(VLOOKUP("electricity|NOx|Asthma symptoms wheeze", US_national_yearly!$D:$AM, 12, FALSE) / VLOOKUP("electricity|NOx|Asthma symptoms wheeze", US_national_yearly!$D:$AM, 10, FALSE), 1)</f>
        <v>2.0483635785220963E-4</v>
      </c>
      <c r="E8" s="7">
        <f>$B8 * IFERROR(VLOOKUP("electricity|NOx|Asthma symptoms wheeze", US_national_yearly!$D:$AM, 13, FALSE) / VLOOKUP("electricity|NOx|Asthma symptoms wheeze", US_national_yearly!$D:$AM, 10, FALSE), 1)</f>
        <v>2.0757335023244289E-4</v>
      </c>
      <c r="F8" s="7">
        <f>$B8 * IFERROR(VLOOKUP("electricity|NOx|Asthma symptoms wheeze", US_national_yearly!$D:$AM, 14, FALSE) / VLOOKUP("electricity|NOx|Asthma symptoms wheeze", US_national_yearly!$D:$AM, 10, FALSE), 1)</f>
        <v>2.103103426126762E-4</v>
      </c>
      <c r="G8" s="7">
        <f>$B8 * IFERROR(VLOOKUP("electricity|NOx|Asthma symptoms wheeze", US_national_yearly!$D:$AM, 15, FALSE) / VLOOKUP("electricity|NOx|Asthma symptoms wheeze", US_national_yearly!$D:$AM, 10, FALSE), 1)</f>
        <v>2.1253566253878018E-4</v>
      </c>
      <c r="H8" s="7">
        <f>$B8 * IFERROR(VLOOKUP("electricity|NOx|Asthma symptoms wheeze", US_national_yearly!$D:$AM, 16, FALSE) / VLOOKUP("electricity|NOx|Asthma symptoms wheeze", US_national_yearly!$D:$AM, 10, FALSE), 1)</f>
        <v>2.1476098246488422E-4</v>
      </c>
      <c r="I8" s="7">
        <f>$B8 * IFERROR(VLOOKUP("electricity|NOx|Asthma symptoms wheeze", US_national_yearly!$D:$AM, 17, FALSE) / VLOOKUP("electricity|NOx|Asthma symptoms wheeze", US_national_yearly!$D:$AM, 10, FALSE), 1)</f>
        <v>2.1558821853699732E-4</v>
      </c>
      <c r="J8" s="7">
        <f>$B8 * IFERROR(VLOOKUP("electricity|NOx|Asthma symptoms wheeze", US_national_yearly!$D:$AM, 18, FALSE) / VLOOKUP("electricity|NOx|Asthma symptoms wheeze", US_national_yearly!$D:$AM, 10, FALSE), 1)</f>
        <v>2.1641545460911041E-4</v>
      </c>
      <c r="K8" s="7">
        <f>$B8 * IFERROR(VLOOKUP("electricity|NOx|Asthma symptoms wheeze", US_national_yearly!$D:$AM, 19, FALSE) / VLOOKUP("electricity|NOx|Asthma symptoms wheeze", US_national_yearly!$D:$AM, 10, FALSE), 1)</f>
        <v>2.1724269068122359E-4</v>
      </c>
      <c r="L8" s="7">
        <f>$B8 * IFERROR(VLOOKUP("electricity|NOx|Asthma symptoms wheeze", US_national_yearly!$D:$AM, 20, FALSE) / VLOOKUP("electricity|NOx|Asthma symptoms wheeze", US_national_yearly!$D:$AM, 10, FALSE), 1)</f>
        <v>2.1806992675333669E-4</v>
      </c>
      <c r="M8" s="7">
        <f>$B8 * IFERROR(VLOOKUP("electricity|NOx|Asthma symptoms wheeze", US_national_yearly!$D:$AM, 21, FALSE) / VLOOKUP("electricity|NOx|Asthma symptoms wheeze", US_national_yearly!$D:$AM, 10, FALSE), 1)</f>
        <v>2.1889716282544978E-4</v>
      </c>
      <c r="N8" s="7">
        <f>$B8 * IFERROR(VLOOKUP("electricity|NOx|Asthma symptoms wheeze", US_national_yearly!$D:$AM, 22, FALSE) / VLOOKUP("electricity|NOx|Asthma symptoms wheeze", US_national_yearly!$D:$AM, 10, FALSE), 1)</f>
        <v>2.1981373350296973E-4</v>
      </c>
      <c r="O8" s="7">
        <f>$B8 * IFERROR(VLOOKUP("electricity|NOx|Asthma symptoms wheeze", US_national_yearly!$D:$AM, 23, FALSE) / VLOOKUP("electricity|NOx|Asthma symptoms wheeze", US_national_yearly!$D:$AM, 10, FALSE), 1)</f>
        <v>2.2073030418048975E-4</v>
      </c>
      <c r="P8" s="7">
        <f>$B8 * IFERROR(VLOOKUP("electricity|NOx|Asthma symptoms wheeze", US_national_yearly!$D:$AM, 24, FALSE) / VLOOKUP("electricity|NOx|Asthma symptoms wheeze", US_national_yearly!$D:$AM, 10, FALSE), 1)</f>
        <v>2.2164687485800975E-4</v>
      </c>
      <c r="Q8" s="7">
        <f>$B8 * IFERROR(VLOOKUP("electricity|NOx|Asthma symptoms wheeze", US_national_yearly!$D:$AM, 25, FALSE) / VLOOKUP("electricity|NOx|Asthma symptoms wheeze", US_national_yearly!$D:$AM, 10, FALSE), 1)</f>
        <v>2.225634455355297E-4</v>
      </c>
      <c r="R8" s="7">
        <f>$B8 * IFERROR(VLOOKUP("electricity|NOx|Asthma symptoms wheeze", US_national_yearly!$D:$AM, 26, FALSE) / VLOOKUP("electricity|NOx|Asthma symptoms wheeze", US_national_yearly!$D:$AM, 10, FALSE), 1)</f>
        <v>2.2348001621304967E-4</v>
      </c>
      <c r="S8" s="7">
        <f>$B8 * IFERROR(VLOOKUP("electricity|NOx|Asthma symptoms wheeze", US_national_yearly!$D:$AM, 27, FALSE) / VLOOKUP("electricity|NOx|Asthma symptoms wheeze", US_national_yearly!$D:$AM, 10, FALSE), 1)</f>
        <v>2.246235225386621E-4</v>
      </c>
      <c r="T8" s="7">
        <f>$B8 * IFERROR(VLOOKUP("electricity|NOx|Asthma symptoms wheeze", US_national_yearly!$D:$AM, 28, FALSE) / VLOOKUP("electricity|NOx|Asthma symptoms wheeze", US_national_yearly!$D:$AM, 10, FALSE), 1)</f>
        <v>2.2576702886427453E-4</v>
      </c>
      <c r="U8" s="7">
        <f>$B8 * IFERROR(VLOOKUP("electricity|NOx|Asthma symptoms wheeze", US_national_yearly!$D:$AM, 29, FALSE) / VLOOKUP("electricity|NOx|Asthma symptoms wheeze", US_national_yearly!$D:$AM, 10, FALSE), 1)</f>
        <v>2.2691053518988694E-4</v>
      </c>
      <c r="V8" s="7">
        <f>$B8 * IFERROR(VLOOKUP("electricity|NOx|Asthma symptoms wheeze", US_national_yearly!$D:$AM, 30, FALSE) / VLOOKUP("electricity|NOx|Asthma symptoms wheeze", US_national_yearly!$D:$AM, 10, FALSE), 1)</f>
        <v>2.2805404151549939E-4</v>
      </c>
      <c r="W8" s="7">
        <f>$B8 * IFERROR(VLOOKUP("electricity|NOx|Asthma symptoms wheeze", US_national_yearly!$D:$AM, 31, FALSE) / VLOOKUP("electricity|NOx|Asthma symptoms wheeze", US_national_yearly!$D:$AM, 10, FALSE), 1)</f>
        <v>2.2919754784111183E-4</v>
      </c>
      <c r="X8" s="7">
        <f>$B8 * IFERROR(VLOOKUP("electricity|NOx|Asthma symptoms wheeze", US_national_yearly!$D:$AM, 32, FALSE) / VLOOKUP("electricity|NOx|Asthma symptoms wheeze", US_national_yearly!$D:$AM, 10, FALSE), 1)</f>
        <v>2.3025106785182841E-4</v>
      </c>
      <c r="Y8" s="7">
        <f>$B8 * IFERROR(VLOOKUP("electricity|NOx|Asthma symptoms wheeze", US_national_yearly!$D:$AM, 33, FALSE) / VLOOKUP("electricity|NOx|Asthma symptoms wheeze", US_national_yearly!$D:$AM, 10, FALSE), 1)</f>
        <v>2.3130458786254501E-4</v>
      </c>
      <c r="Z8" s="7">
        <f>$B8 * IFERROR(VLOOKUP("electricity|NOx|Asthma symptoms wheeze", US_national_yearly!$D:$AM, 34, FALSE) / VLOOKUP("electricity|NOx|Asthma symptoms wheeze", US_national_yearly!$D:$AM, 10, FALSE), 1)</f>
        <v>2.3235810787326154E-4</v>
      </c>
      <c r="AA8" s="7">
        <f>$B8 * IFERROR(VLOOKUP("electricity|NOx|Asthma symptoms wheeze", US_national_yearly!$D:$AM, 35, FALSE) / VLOOKUP("electricity|NOx|Asthma symptoms wheeze", US_national_yearly!$D:$AM, 10, FALSE), 1)</f>
        <v>2.3341162788397815E-4</v>
      </c>
      <c r="AB8" s="7">
        <f>$B8 * IFERROR(VLOOKUP("electricity|NOx|Asthma symptoms wheeze", US_national_yearly!$D:$AM, 36, FALSE) / VLOOKUP("electricity|NOx|Asthma symptoms wheeze", US_national_yearly!$D:$AM, 10, FALSE), 1)</f>
        <v>2.344651478946947E-4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2.0708467338019646E-6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2.1238845774598215E-6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2.1769224211176789E-6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2.2299602647755363E-6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2.2829981084333928E-6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2.3340552158919105E-6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2.3851123233504291E-6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2.4290172353792597E-6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2.4729221474080904E-6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2.5168270594369218E-6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2.5607319714657524E-6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2.6046368834945835E-6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2.634725471025946E-6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2.6648140585573081E-6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2.6949026460886707E-6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2.7249912336200328E-6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2.7550798211513953E-6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2.7722162316724519E-6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2.7893526421935092E-6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2.8064890527145653E-6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2.8236254632356218E-6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2.8407618737566783E-6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2.8532259664225098E-6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2.8656900590883409E-6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2.8781541517541728E-6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2.8906182444200047E-6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2.9030823370858353E-6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1.1231450824491695E-5</v>
      </c>
      <c r="C13" s="7">
        <f>$B13 * IFERROR(VLOOKUP("electricity|NOx|Non-fatal heart attacks", US_national_yearly!$D:$AM, 11, FALSE) / VLOOKUP("electricity|NOx|Non-fatal heart attacks", US_national_yearly!$D:$AM, 10, FALSE), 1)</f>
        <v>1.1553762521075188E-5</v>
      </c>
      <c r="D13" s="7">
        <f>$B13 * IFERROR(VLOOKUP("electricity|NOx|Non-fatal heart attacks", US_national_yearly!$D:$AM, 12, FALSE) / VLOOKUP("electricity|NOx|Non-fatal heart attacks", US_national_yearly!$D:$AM, 10, FALSE), 1)</f>
        <v>1.1876074217658682E-5</v>
      </c>
      <c r="E13" s="7">
        <f>$B13 * IFERROR(VLOOKUP("electricity|NOx|Non-fatal heart attacks", US_national_yearly!$D:$AM, 13, FALSE) / VLOOKUP("electricity|NOx|Non-fatal heart attacks", US_national_yearly!$D:$AM, 10, FALSE), 1)</f>
        <v>1.2198385914242175E-5</v>
      </c>
      <c r="F13" s="7">
        <f>$B13 * IFERROR(VLOOKUP("electricity|NOx|Non-fatal heart attacks", US_national_yearly!$D:$AM, 14, FALSE) / VLOOKUP("electricity|NOx|Non-fatal heart attacks", US_national_yearly!$D:$AM, 10, FALSE), 1)</f>
        <v>1.2520697610825671E-5</v>
      </c>
      <c r="G13" s="7">
        <f>$B13 * IFERROR(VLOOKUP("electricity|NOx|Non-fatal heart attacks", US_national_yearly!$D:$AM, 15, FALSE) / VLOOKUP("electricity|NOx|Non-fatal heart attacks", US_national_yearly!$D:$AM, 10, FALSE), 1)</f>
        <v>1.282432759557393E-5</v>
      </c>
      <c r="H13" s="7">
        <f>$B13 * IFERROR(VLOOKUP("electricity|NOx|Non-fatal heart attacks", US_national_yearly!$D:$AM, 16, FALSE) / VLOOKUP("electricity|NOx|Non-fatal heart attacks", US_national_yearly!$D:$AM, 10, FALSE), 1)</f>
        <v>1.3127957580322189E-5</v>
      </c>
      <c r="I13" s="7">
        <f>$B13 * IFERROR(VLOOKUP("electricity|NOx|Non-fatal heart attacks", US_national_yearly!$D:$AM, 17, FALSE) / VLOOKUP("electricity|NOx|Non-fatal heart attacks", US_national_yearly!$D:$AM, 10, FALSE), 1)</f>
        <v>1.3371438110052708E-5</v>
      </c>
      <c r="J13" s="7">
        <f>$B13 * IFERROR(VLOOKUP("electricity|NOx|Non-fatal heart attacks", US_national_yearly!$D:$AM, 18, FALSE) / VLOOKUP("electricity|NOx|Non-fatal heart attacks", US_national_yearly!$D:$AM, 10, FALSE), 1)</f>
        <v>1.3614918639783228E-5</v>
      </c>
      <c r="K13" s="7">
        <f>$B13 * IFERROR(VLOOKUP("electricity|NOx|Non-fatal heart attacks", US_national_yearly!$D:$AM, 19, FALSE) / VLOOKUP("electricity|NOx|Non-fatal heart attacks", US_national_yearly!$D:$AM, 10, FALSE), 1)</f>
        <v>1.3858399169513734E-5</v>
      </c>
      <c r="L13" s="7">
        <f>$B13 * IFERROR(VLOOKUP("electricity|NOx|Non-fatal heart attacks", US_national_yearly!$D:$AM, 20, FALSE) / VLOOKUP("electricity|NOx|Non-fatal heart attacks", US_national_yearly!$D:$AM, 10, FALSE), 1)</f>
        <v>1.4101879699244254E-5</v>
      </c>
      <c r="M13" s="7">
        <f>$B13 * IFERROR(VLOOKUP("electricity|NOx|Non-fatal heart attacks", US_national_yearly!$D:$AM, 21, FALSE) / VLOOKUP("electricity|NOx|Non-fatal heart attacks", US_national_yearly!$D:$AM, 10, FALSE), 1)</f>
        <v>1.4345360228974775E-5</v>
      </c>
      <c r="N13" s="7">
        <f>$B13 * IFERROR(VLOOKUP("electricity|NOx|Non-fatal heart attacks", US_national_yearly!$D:$AM, 22, FALSE) / VLOOKUP("electricity|NOx|Non-fatal heart attacks", US_national_yearly!$D:$AM, 10, FALSE), 1)</f>
        <v>1.4495519730563783E-5</v>
      </c>
      <c r="O13" s="7">
        <f>$B13 * IFERROR(VLOOKUP("electricity|NOx|Non-fatal heart attacks", US_national_yearly!$D:$AM, 23, FALSE) / VLOOKUP("electricity|NOx|Non-fatal heart attacks", US_national_yearly!$D:$AM, 10, FALSE), 1)</f>
        <v>1.4645679232152797E-5</v>
      </c>
      <c r="P13" s="7">
        <f>$B13 * IFERROR(VLOOKUP("electricity|NOx|Non-fatal heart attacks", US_national_yearly!$D:$AM, 24, FALSE) / VLOOKUP("electricity|NOx|Non-fatal heart attacks", US_national_yearly!$D:$AM, 10, FALSE), 1)</f>
        <v>1.4795838733741807E-5</v>
      </c>
      <c r="Q13" s="7">
        <f>$B13 * IFERROR(VLOOKUP("electricity|NOx|Non-fatal heart attacks", US_national_yearly!$D:$AM, 25, FALSE) / VLOOKUP("electricity|NOx|Non-fatal heart attacks", US_national_yearly!$D:$AM, 10, FALSE), 1)</f>
        <v>1.4945998235330817E-5</v>
      </c>
      <c r="R13" s="7">
        <f>$B13 * IFERROR(VLOOKUP("electricity|NOx|Non-fatal heart attacks", US_national_yearly!$D:$AM, 26, FALSE) / VLOOKUP("electricity|NOx|Non-fatal heart attacks", US_national_yearly!$D:$AM, 10, FALSE), 1)</f>
        <v>1.5096157736919828E-5</v>
      </c>
      <c r="S13" s="7">
        <f>$B13 * IFERROR(VLOOKUP("electricity|NOx|Non-fatal heart attacks", US_national_yearly!$D:$AM, 27, FALSE) / VLOOKUP("electricity|NOx|Non-fatal heart attacks", US_national_yearly!$D:$AM, 10, FALSE), 1)</f>
        <v>1.5169525169137273E-5</v>
      </c>
      <c r="T13" s="7">
        <f>$B13 * IFERROR(VLOOKUP("electricity|NOx|Non-fatal heart attacks", US_national_yearly!$D:$AM, 28, FALSE) / VLOOKUP("electricity|NOx|Non-fatal heart attacks", US_national_yearly!$D:$AM, 10, FALSE), 1)</f>
        <v>1.5242892601354714E-5</v>
      </c>
      <c r="U13" s="7">
        <f>$B13 * IFERROR(VLOOKUP("electricity|NOx|Non-fatal heart attacks", US_national_yearly!$D:$AM, 29, FALSE) / VLOOKUP("electricity|NOx|Non-fatal heart attacks", US_national_yearly!$D:$AM, 10, FALSE), 1)</f>
        <v>1.5316260033572163E-5</v>
      </c>
      <c r="V13" s="7">
        <f>$B13 * IFERROR(VLOOKUP("electricity|NOx|Non-fatal heart attacks", US_national_yearly!$D:$AM, 30, FALSE) / VLOOKUP("electricity|NOx|Non-fatal heart attacks", US_national_yearly!$D:$AM, 10, FALSE), 1)</f>
        <v>1.5389627465789604E-5</v>
      </c>
      <c r="W13" s="7">
        <f>$B13 * IFERROR(VLOOKUP("electricity|NOx|Non-fatal heart attacks", US_national_yearly!$D:$AM, 31, FALSE) / VLOOKUP("electricity|NOx|Non-fatal heart attacks", US_national_yearly!$D:$AM, 10, FALSE), 1)</f>
        <v>1.5462994898007052E-5</v>
      </c>
      <c r="X13" s="7">
        <f>$B13 * IFERROR(VLOOKUP("electricity|NOx|Non-fatal heart attacks", US_national_yearly!$D:$AM, 32, FALSE) / VLOOKUP("electricity|NOx|Non-fatal heart attacks", US_national_yearly!$D:$AM, 10, FALSE), 1)</f>
        <v>1.5514203415946008E-5</v>
      </c>
      <c r="Y13" s="7">
        <f>$B13 * IFERROR(VLOOKUP("electricity|NOx|Non-fatal heart attacks", US_national_yearly!$D:$AM, 33, FALSE) / VLOOKUP("electricity|NOx|Non-fatal heart attacks", US_national_yearly!$D:$AM, 10, FALSE), 1)</f>
        <v>1.556541193388497E-5</v>
      </c>
      <c r="Z13" s="7">
        <f>$B13 * IFERROR(VLOOKUP("electricity|NOx|Non-fatal heart attacks", US_national_yearly!$D:$AM, 34, FALSE) / VLOOKUP("electricity|NOx|Non-fatal heart attacks", US_national_yearly!$D:$AM, 10, FALSE), 1)</f>
        <v>1.5616620451823925E-5</v>
      </c>
      <c r="AA13" s="7">
        <f>$B13 * IFERROR(VLOOKUP("electricity|NOx|Non-fatal heart attacks", US_national_yearly!$D:$AM, 35, FALSE) / VLOOKUP("electricity|NOx|Non-fatal heart attacks", US_national_yearly!$D:$AM, 10, FALSE), 1)</f>
        <v>1.5667828969762884E-5</v>
      </c>
      <c r="AB13" s="7">
        <f>$B13 * IFERROR(VLOOKUP("electricity|NOx|Non-fatal heart attacks", US_national_yearly!$D:$AM, 36, FALSE) / VLOOKUP("electricity|NOx|Non-fatal heart attacks", US_national_yearly!$D:$AM, 10, FALSE), 1)</f>
        <v>1.5719037487701846E-5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1.0771077826061397E-2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1.0787592240129719E-2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1.080410665419804E-2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1.0820621068266362E-2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1.0837135482334687E-2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1.0865942391558279E-2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1.0894749300781867E-2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1.0951743575596059E-2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1.1008737850410245E-2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1.1065732125224437E-2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1.1122726400038625E-2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1.1179720674852817E-2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1.126213918491324E-2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1.1344557694973662E-2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1.1426976205034084E-2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1.1509394715094507E-2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1.1591813225154932E-2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1.1674855010561072E-2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1.1757896795967213E-2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1.1840938581373356E-2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1.1923980366779496E-2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1.2007022152185636E-2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1.2077250893030312E-2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1.2147479633874981E-2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1.2217708374719666E-2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1.228793711556434E-2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1.2358165856409012E-2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1.8314977661602217E-3</v>
      </c>
      <c r="C15" s="7">
        <f>$B15 * IFERROR(VLOOKUP("electricity|NOx|Work loss days", US_national_yearly!$D:$AM, 11, FALSE) / VLOOKUP("electricity|NOx|Work loss days", US_national_yearly!$D:$AM, 10, FALSE), 1)</f>
        <v>1.835582660756724E-3</v>
      </c>
      <c r="D15" s="7">
        <f>$B15 * IFERROR(VLOOKUP("electricity|NOx|Work loss days", US_national_yearly!$D:$AM, 12, FALSE) / VLOOKUP("electricity|NOx|Work loss days", US_national_yearly!$D:$AM, 10, FALSE), 1)</f>
        <v>1.8396675553532262E-3</v>
      </c>
      <c r="E15" s="7">
        <f>$B15 * IFERROR(VLOOKUP("electricity|NOx|Work loss days", US_national_yearly!$D:$AM, 13, FALSE) / VLOOKUP("electricity|NOx|Work loss days", US_national_yearly!$D:$AM, 10, FALSE), 1)</f>
        <v>1.8437524499497282E-3</v>
      </c>
      <c r="F15" s="7">
        <f>$B15 * IFERROR(VLOOKUP("electricity|NOx|Work loss days", US_national_yearly!$D:$AM, 14, FALSE) / VLOOKUP("electricity|NOx|Work loss days", US_national_yearly!$D:$AM, 10, FALSE), 1)</f>
        <v>1.8478373445462305E-3</v>
      </c>
      <c r="G15" s="7">
        <f>$B15 * IFERROR(VLOOKUP("electricity|NOx|Work loss days", US_national_yearly!$D:$AM, 15, FALSE) / VLOOKUP("electricity|NOx|Work loss days", US_national_yearly!$D:$AM, 10, FALSE), 1)</f>
        <v>1.8535961094985841E-3</v>
      </c>
      <c r="H15" s="7">
        <f>$B15 * IFERROR(VLOOKUP("electricity|NOx|Work loss days", US_national_yearly!$D:$AM, 16, FALSE) / VLOOKUP("electricity|NOx|Work loss days", US_national_yearly!$D:$AM, 10, FALSE), 1)</f>
        <v>1.8593548744509374E-3</v>
      </c>
      <c r="I15" s="7">
        <f>$B15 * IFERROR(VLOOKUP("electricity|NOx|Work loss days", US_national_yearly!$D:$AM, 17, FALSE) / VLOOKUP("electricity|NOx|Work loss days", US_national_yearly!$D:$AM, 10, FALSE), 1)</f>
        <v>1.8687055628072906E-3</v>
      </c>
      <c r="J15" s="7">
        <f>$B15 * IFERROR(VLOOKUP("electricity|NOx|Work loss days", US_national_yearly!$D:$AM, 18, FALSE) / VLOOKUP("electricity|NOx|Work loss days", US_national_yearly!$D:$AM, 10, FALSE), 1)</f>
        <v>1.8780562511636438E-3</v>
      </c>
      <c r="K15" s="7">
        <f>$B15 * IFERROR(VLOOKUP("electricity|NOx|Work loss days", US_national_yearly!$D:$AM, 19, FALSE) / VLOOKUP("electricity|NOx|Work loss days", US_national_yearly!$D:$AM, 10, FALSE), 1)</f>
        <v>1.8874069395199964E-3</v>
      </c>
      <c r="L15" s="7">
        <f>$B15 * IFERROR(VLOOKUP("electricity|NOx|Work loss days", US_national_yearly!$D:$AM, 20, FALSE) / VLOOKUP("electricity|NOx|Work loss days", US_national_yearly!$D:$AM, 10, FALSE), 1)</f>
        <v>1.8967576278763492E-3</v>
      </c>
      <c r="M15" s="7">
        <f>$B15 * IFERROR(VLOOKUP("electricity|NOx|Work loss days", US_national_yearly!$D:$AM, 21, FALSE) / VLOOKUP("electricity|NOx|Work loss days", US_national_yearly!$D:$AM, 10, FALSE), 1)</f>
        <v>1.906108316232702E-3</v>
      </c>
      <c r="N15" s="7">
        <f>$B15 * IFERROR(VLOOKUP("electricity|NOx|Work loss days", US_national_yearly!$D:$AM, 22, FALSE) / VLOOKUP("electricity|NOx|Work loss days", US_national_yearly!$D:$AM, 10, FALSE), 1)</f>
        <v>1.9184453251638537E-3</v>
      </c>
      <c r="O15" s="7">
        <f>$B15 * IFERROR(VLOOKUP("electricity|NOx|Work loss days", US_national_yearly!$D:$AM, 23, FALSE) / VLOOKUP("electricity|NOx|Work loss days", US_national_yearly!$D:$AM, 10, FALSE), 1)</f>
        <v>1.9307823340950047E-3</v>
      </c>
      <c r="P15" s="7">
        <f>$B15 * IFERROR(VLOOKUP("electricity|NOx|Work loss days", US_national_yearly!$D:$AM, 24, FALSE) / VLOOKUP("electricity|NOx|Work loss days", US_national_yearly!$D:$AM, 10, FALSE), 1)</f>
        <v>1.9431193430261562E-3</v>
      </c>
      <c r="Q15" s="7">
        <f>$B15 * IFERROR(VLOOKUP("electricity|NOx|Work loss days", US_national_yearly!$D:$AM, 25, FALSE) / VLOOKUP("electricity|NOx|Work loss days", US_national_yearly!$D:$AM, 10, FALSE), 1)</f>
        <v>1.9554563519573079E-3</v>
      </c>
      <c r="R15" s="7">
        <f>$B15 * IFERROR(VLOOKUP("electricity|NOx|Work loss days", US_national_yearly!$D:$AM, 26, FALSE) / VLOOKUP("electricity|NOx|Work loss days", US_national_yearly!$D:$AM, 10, FALSE), 1)</f>
        <v>1.9677933608884587E-3</v>
      </c>
      <c r="S15" s="7">
        <f>$B15 * IFERROR(VLOOKUP("electricity|NOx|Work loss days", US_national_yearly!$D:$AM, 27, FALSE) / VLOOKUP("electricity|NOx|Work loss days", US_national_yearly!$D:$AM, 10, FALSE), 1)</f>
        <v>1.9816185503922618E-3</v>
      </c>
      <c r="T15" s="7">
        <f>$B15 * IFERROR(VLOOKUP("electricity|NOx|Work loss days", US_national_yearly!$D:$AM, 28, FALSE) / VLOOKUP("electricity|NOx|Work loss days", US_national_yearly!$D:$AM, 10, FALSE), 1)</f>
        <v>1.9954437398960645E-3</v>
      </c>
      <c r="U15" s="7">
        <f>$B15 * IFERROR(VLOOKUP("electricity|NOx|Work loss days", US_national_yearly!$D:$AM, 29, FALSE) / VLOOKUP("electricity|NOx|Work loss days", US_national_yearly!$D:$AM, 10, FALSE), 1)</f>
        <v>2.0092689293998672E-3</v>
      </c>
      <c r="V15" s="7">
        <f>$B15 * IFERROR(VLOOKUP("electricity|NOx|Work loss days", US_national_yearly!$D:$AM, 30, FALSE) / VLOOKUP("electricity|NOx|Work loss days", US_national_yearly!$D:$AM, 10, FALSE), 1)</f>
        <v>2.0230941189036704E-3</v>
      </c>
      <c r="W15" s="7">
        <f>$B15 * IFERROR(VLOOKUP("electricity|NOx|Work loss days", US_national_yearly!$D:$AM, 31, FALSE) / VLOOKUP("electricity|NOx|Work loss days", US_national_yearly!$D:$AM, 10, FALSE), 1)</f>
        <v>2.0369193084074735E-3</v>
      </c>
      <c r="X15" s="7">
        <f>$B15 * IFERROR(VLOOKUP("electricity|NOx|Work loss days", US_national_yearly!$D:$AM, 32, FALSE) / VLOOKUP("electricity|NOx|Work loss days", US_national_yearly!$D:$AM, 10, FALSE), 1)</f>
        <v>2.0489707859561584E-3</v>
      </c>
      <c r="Y15" s="7">
        <f>$B15 * IFERROR(VLOOKUP("electricity|NOx|Work loss days", US_national_yearly!$D:$AM, 33, FALSE) / VLOOKUP("electricity|NOx|Work loss days", US_national_yearly!$D:$AM, 10, FALSE), 1)</f>
        <v>2.0610222635048434E-3</v>
      </c>
      <c r="Z15" s="7">
        <f>$B15 * IFERROR(VLOOKUP("electricity|NOx|Work loss days", US_national_yearly!$D:$AM, 34, FALSE) / VLOOKUP("electricity|NOx|Work loss days", US_national_yearly!$D:$AM, 10, FALSE), 1)</f>
        <v>2.0730737410535288E-3</v>
      </c>
      <c r="AA15" s="7">
        <f>$B15 * IFERROR(VLOOKUP("electricity|NOx|Work loss days", US_national_yearly!$D:$AM, 35, FALSE) / VLOOKUP("electricity|NOx|Work loss days", US_national_yearly!$D:$AM, 10, FALSE), 1)</f>
        <v>2.0851252186022142E-3</v>
      </c>
      <c r="AB15" s="7">
        <f>$B15 * IFERROR(VLOOKUP("electricity|NOx|Work loss days", US_national_yearly!$D:$AM, 36, FALSE) / VLOOKUP("electricity|NOx|Work loss days", US_national_yearly!$D:$AM, 10, FALSE), 1)</f>
        <v>2.0971766961508992E-3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2.4360904430303683E-6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2.5078494661576841E-6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2.5796084892850008E-6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2.651367512412317E-6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2.7231265355396333E-6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2.7918413717976039E-6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2.8605562080555744E-6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2.9192078482604076E-6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2.9778594884652412E-6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3.0365111286700748E-6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3.0951627688749084E-6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3.1538144090797416E-6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3.1914553967778569E-6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3.2290963844759725E-6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3.2667373721740882E-6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3.3043783598722034E-6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3.3420193475703191E-6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3.3605431409710213E-6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3.379066934371723E-6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3.3975907277724252E-6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3.4161145211731279E-6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3.4346383145738301E-6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3.4457403275597966E-6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3.4568423405457632E-6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3.4679443535317302E-6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3.4790463665176967E-6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3.4901483795036633E-6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4.6501719003949567E-5</v>
      </c>
      <c r="C2" s="7">
        <f>$B2 * IFERROR(VLOOKUP("electricity|SO2|Premature mortality", US_national_yearly!$D:$AM, 11, FALSE) / VLOOKUP("electricity|SO2|Premature mortality", US_national_yearly!$D:$AM, 10, FALSE), 1)</f>
        <v>4.709788176982959E-5</v>
      </c>
      <c r="D2" s="7">
        <f>$B2 * IFERROR(VLOOKUP("electricity|SO2|Premature mortality", US_national_yearly!$D:$AM, 12, FALSE) / VLOOKUP("electricity|SO2|Premature mortality", US_national_yearly!$D:$AM, 10, FALSE), 1)</f>
        <v>4.7694044535709607E-5</v>
      </c>
      <c r="E2" s="7">
        <f>$B2 * IFERROR(VLOOKUP("electricity|SO2|Premature mortality", US_national_yearly!$D:$AM, 13, FALSE) / VLOOKUP("electricity|SO2|Premature mortality", US_national_yearly!$D:$AM, 10, FALSE), 1)</f>
        <v>4.8290207301589631E-5</v>
      </c>
      <c r="F2" s="7">
        <f>$B2 * IFERROR(VLOOKUP("electricity|SO2|Premature mortality", US_national_yearly!$D:$AM, 14, FALSE) / VLOOKUP("electricity|SO2|Premature mortality", US_national_yearly!$D:$AM, 10, FALSE), 1)</f>
        <v>4.8886370067469642E-5</v>
      </c>
      <c r="G2" s="7">
        <f>$B2 * IFERROR(VLOOKUP("electricity|SO2|Premature mortality", US_national_yearly!$D:$AM, 15, FALSE) / VLOOKUP("electricity|SO2|Premature mortality", US_national_yearly!$D:$AM, 10, FALSE), 1)</f>
        <v>5.003481867282549E-5</v>
      </c>
      <c r="H2" s="7">
        <f>$B2 * IFERROR(VLOOKUP("electricity|SO2|Premature mortality", US_national_yearly!$D:$AM, 16, FALSE) / VLOOKUP("electricity|SO2|Premature mortality", US_national_yearly!$D:$AM, 10, FALSE), 1)</f>
        <v>5.1183267278181325E-5</v>
      </c>
      <c r="I2" s="7">
        <f>$B2 * IFERROR(VLOOKUP("electricity|SO2|Premature mortality", US_national_yearly!$D:$AM, 17, FALSE) / VLOOKUP("electricity|SO2|Premature mortality", US_national_yearly!$D:$AM, 10, FALSE), 1)</f>
        <v>5.1956331809214221E-5</v>
      </c>
      <c r="J2" s="7">
        <f>$B2 * IFERROR(VLOOKUP("electricity|SO2|Premature mortality", US_national_yearly!$D:$AM, 18, FALSE) / VLOOKUP("electricity|SO2|Premature mortality", US_national_yearly!$D:$AM, 10, FALSE), 1)</f>
        <v>5.272939634024711E-5</v>
      </c>
      <c r="K2" s="7">
        <f>$B2 * IFERROR(VLOOKUP("electricity|SO2|Premature mortality", US_national_yearly!$D:$AM, 19, FALSE) / VLOOKUP("electricity|SO2|Premature mortality", US_national_yearly!$D:$AM, 10, FALSE), 1)</f>
        <v>5.3502460871279992E-5</v>
      </c>
      <c r="L2" s="7">
        <f>$B2 * IFERROR(VLOOKUP("electricity|SO2|Premature mortality", US_national_yearly!$D:$AM, 20, FALSE) / VLOOKUP("electricity|SO2|Premature mortality", US_national_yearly!$D:$AM, 10, FALSE), 1)</f>
        <v>5.4275525402312895E-5</v>
      </c>
      <c r="M2" s="7">
        <f>$B2 * IFERROR(VLOOKUP("electricity|SO2|Premature mortality", US_national_yearly!$D:$AM, 21, FALSE) / VLOOKUP("electricity|SO2|Premature mortality", US_national_yearly!$D:$AM, 10, FALSE), 1)</f>
        <v>5.5048589933345777E-5</v>
      </c>
      <c r="N2" s="7">
        <f>$B2 * IFERROR(VLOOKUP("electricity|SO2|Premature mortality", US_national_yearly!$D:$AM, 22, FALSE) / VLOOKUP("electricity|SO2|Premature mortality", US_national_yearly!$D:$AM, 10, FALSE), 1)</f>
        <v>5.5668139538355117E-5</v>
      </c>
      <c r="O2" s="7">
        <f>$B2 * IFERROR(VLOOKUP("electricity|SO2|Premature mortality", US_national_yearly!$D:$AM, 23, FALSE) / VLOOKUP("electricity|SO2|Premature mortality", US_national_yearly!$D:$AM, 10, FALSE), 1)</f>
        <v>5.628768914336447E-5</v>
      </c>
      <c r="P2" s="7">
        <f>$B2 * IFERROR(VLOOKUP("electricity|SO2|Premature mortality", US_national_yearly!$D:$AM, 24, FALSE) / VLOOKUP("electricity|SO2|Premature mortality", US_national_yearly!$D:$AM, 10, FALSE), 1)</f>
        <v>5.6907238748373796E-5</v>
      </c>
      <c r="Q2" s="7">
        <f>$B2 * IFERROR(VLOOKUP("electricity|SO2|Premature mortality", US_national_yearly!$D:$AM, 25, FALSE) / VLOOKUP("electricity|SO2|Premature mortality", US_national_yearly!$D:$AM, 10, FALSE), 1)</f>
        <v>5.7526788353383135E-5</v>
      </c>
      <c r="R2" s="7">
        <f>$B2 * IFERROR(VLOOKUP("electricity|SO2|Premature mortality", US_national_yearly!$D:$AM, 26, FALSE) / VLOOKUP("electricity|SO2|Premature mortality", US_national_yearly!$D:$AM, 10, FALSE), 1)</f>
        <v>5.8146337958392481E-5</v>
      </c>
      <c r="S2" s="7">
        <f>$B2 * IFERROR(VLOOKUP("electricity|SO2|Premature mortality", US_national_yearly!$D:$AM, 27, FALSE) / VLOOKUP("electricity|SO2|Premature mortality", US_national_yearly!$D:$AM, 10, FALSE), 1)</f>
        <v>5.8501543843706744E-5</v>
      </c>
      <c r="T2" s="7">
        <f>$B2 * IFERROR(VLOOKUP("electricity|SO2|Premature mortality", US_national_yearly!$D:$AM, 28, FALSE) / VLOOKUP("electricity|SO2|Premature mortality", US_national_yearly!$D:$AM, 10, FALSE), 1)</f>
        <v>5.8856749729021013E-5</v>
      </c>
      <c r="U2" s="7">
        <f>$B2 * IFERROR(VLOOKUP("electricity|SO2|Premature mortality", US_national_yearly!$D:$AM, 29, FALSE) / VLOOKUP("electricity|SO2|Premature mortality", US_national_yearly!$D:$AM, 10, FALSE), 1)</f>
        <v>5.9211955614335275E-5</v>
      </c>
      <c r="V2" s="7">
        <f>$B2 * IFERROR(VLOOKUP("electricity|SO2|Premature mortality", US_national_yearly!$D:$AM, 30, FALSE) / VLOOKUP("electricity|SO2|Premature mortality", US_national_yearly!$D:$AM, 10, FALSE), 1)</f>
        <v>5.9567161499649551E-5</v>
      </c>
      <c r="W2" s="7">
        <f>$B2 * IFERROR(VLOOKUP("electricity|SO2|Premature mortality", US_national_yearly!$D:$AM, 31, FALSE) / VLOOKUP("electricity|SO2|Premature mortality", US_national_yearly!$D:$AM, 10, FALSE), 1)</f>
        <v>5.9922367384963814E-5</v>
      </c>
      <c r="X2" s="7">
        <f>$B2 * IFERROR(VLOOKUP("electricity|SO2|Premature mortality", US_national_yearly!$D:$AM, 32, FALSE) / VLOOKUP("electricity|SO2|Premature mortality", US_national_yearly!$D:$AM, 10, FALSE), 1)</f>
        <v>6.0027027260446863E-5</v>
      </c>
      <c r="Y2" s="7">
        <f>$B2 * IFERROR(VLOOKUP("electricity|SO2|Premature mortality", US_national_yearly!$D:$AM, 33, FALSE) / VLOOKUP("electricity|SO2|Premature mortality", US_national_yearly!$D:$AM, 10, FALSE), 1)</f>
        <v>6.0131687135929899E-5</v>
      </c>
      <c r="Z2" s="7">
        <f>$B2 * IFERROR(VLOOKUP("electricity|SO2|Premature mortality", US_national_yearly!$D:$AM, 34, FALSE) / VLOOKUP("electricity|SO2|Premature mortality", US_national_yearly!$D:$AM, 10, FALSE), 1)</f>
        <v>6.0236347011412935E-5</v>
      </c>
      <c r="AA2" s="7">
        <f>$B2 * IFERROR(VLOOKUP("electricity|SO2|Premature mortality", US_national_yearly!$D:$AM, 35, FALSE) / VLOOKUP("electricity|SO2|Premature mortality", US_national_yearly!$D:$AM, 10, FALSE), 1)</f>
        <v>6.0341006886895985E-5</v>
      </c>
      <c r="AB2" s="7">
        <f>$B2 * IFERROR(VLOOKUP("electricity|SO2|Premature mortality", US_national_yearly!$D:$AM, 36, FALSE) / VLOOKUP("electricity|SO2|Premature mortality", US_national_yearly!$D:$AM, 10, FALSE), 1)</f>
        <v>6.0445666762379028E-5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1.2322865992729189E-7</v>
      </c>
      <c r="C3" s="7">
        <f>$B3 * IFERROR(VLOOKUP("electricity|SO2|Infant mortality", US_national_yearly!$D:$AM, 11, FALSE) / VLOOKUP("electricity|SO2|Infant mortality", US_national_yearly!$D:$AM, 10, FALSE), 1)</f>
        <v>1.2218761205360787E-7</v>
      </c>
      <c r="D3" s="7">
        <f>$B3 * IFERROR(VLOOKUP("electricity|SO2|Infant mortality", US_national_yearly!$D:$AM, 12, FALSE) / VLOOKUP("electricity|SO2|Infant mortality", US_national_yearly!$D:$AM, 10, FALSE), 1)</f>
        <v>1.2114656417992385E-7</v>
      </c>
      <c r="E3" s="7">
        <f>$B3 * IFERROR(VLOOKUP("electricity|SO2|Infant mortality", US_national_yearly!$D:$AM, 13, FALSE) / VLOOKUP("electricity|SO2|Infant mortality", US_national_yearly!$D:$AM, 10, FALSE), 1)</f>
        <v>1.2010551630623983E-7</v>
      </c>
      <c r="F3" s="7">
        <f>$B3 * IFERROR(VLOOKUP("electricity|SO2|Infant mortality", US_national_yearly!$D:$AM, 14, FALSE) / VLOOKUP("electricity|SO2|Infant mortality", US_national_yearly!$D:$AM, 10, FALSE), 1)</f>
        <v>1.1906446843255584E-7</v>
      </c>
      <c r="G3" s="7">
        <f>$B3 * IFERROR(VLOOKUP("electricity|SO2|Infant mortality", US_national_yearly!$D:$AM, 15, FALSE) / VLOOKUP("electricity|SO2|Infant mortality", US_national_yearly!$D:$AM, 10, FALSE), 1)</f>
        <v>7.9184039197941474E-8</v>
      </c>
      <c r="H3" s="7">
        <f>$B3 * IFERROR(VLOOKUP("electricity|SO2|Infant mortality", US_national_yearly!$D:$AM, 16, FALSE) / VLOOKUP("electricity|SO2|Infant mortality", US_national_yearly!$D:$AM, 10, FALSE), 1)</f>
        <v>3.9303609963327107E-8</v>
      </c>
      <c r="I3" s="7">
        <f>$B3 * IFERROR(VLOOKUP("electricity|SO2|Infant mortality", US_national_yearly!$D:$AM, 17, FALSE) / VLOOKUP("electricity|SO2|Infant mortality", US_national_yearly!$D:$AM, 10, FALSE), 1)</f>
        <v>3.9052165879521949E-8</v>
      </c>
      <c r="J3" s="7">
        <f>$B3 * IFERROR(VLOOKUP("electricity|SO2|Infant mortality", US_national_yearly!$D:$AM, 18, FALSE) / VLOOKUP("electricity|SO2|Infant mortality", US_national_yearly!$D:$AM, 10, FALSE), 1)</f>
        <v>3.8800721795716778E-8</v>
      </c>
      <c r="K3" s="7">
        <f>$B3 * IFERROR(VLOOKUP("electricity|SO2|Infant mortality", US_national_yearly!$D:$AM, 19, FALSE) / VLOOKUP("electricity|SO2|Infant mortality", US_national_yearly!$D:$AM, 10, FALSE), 1)</f>
        <v>3.8549277711911627E-8</v>
      </c>
      <c r="L3" s="7">
        <f>$B3 * IFERROR(VLOOKUP("electricity|SO2|Infant mortality", US_national_yearly!$D:$AM, 20, FALSE) / VLOOKUP("electricity|SO2|Infant mortality", US_national_yearly!$D:$AM, 10, FALSE), 1)</f>
        <v>3.8297833628106455E-8</v>
      </c>
      <c r="M3" s="7">
        <f>$B3 * IFERROR(VLOOKUP("electricity|SO2|Infant mortality", US_national_yearly!$D:$AM, 21, FALSE) / VLOOKUP("electricity|SO2|Infant mortality", US_national_yearly!$D:$AM, 10, FALSE), 1)</f>
        <v>3.8046389544301298E-8</v>
      </c>
      <c r="N3" s="7">
        <f>$B3 * IFERROR(VLOOKUP("electricity|SO2|Infant mortality", US_national_yearly!$D:$AM, 22, FALSE) / VLOOKUP("electricity|SO2|Infant mortality", US_national_yearly!$D:$AM, 10, FALSE), 1)</f>
        <v>3.7887063430553217E-8</v>
      </c>
      <c r="O3" s="7">
        <f>$B3 * IFERROR(VLOOKUP("electricity|SO2|Infant mortality", US_national_yearly!$D:$AM, 23, FALSE) / VLOOKUP("electricity|SO2|Infant mortality", US_national_yearly!$D:$AM, 10, FALSE), 1)</f>
        <v>3.772773731680513E-8</v>
      </c>
      <c r="P3" s="7">
        <f>$B3 * IFERROR(VLOOKUP("electricity|SO2|Infant mortality", US_national_yearly!$D:$AM, 24, FALSE) / VLOOKUP("electricity|SO2|Infant mortality", US_national_yearly!$D:$AM, 10, FALSE), 1)</f>
        <v>3.7568411203057049E-8</v>
      </c>
      <c r="Q3" s="7">
        <f>$B3 * IFERROR(VLOOKUP("electricity|SO2|Infant mortality", US_national_yearly!$D:$AM, 25, FALSE) / VLOOKUP("electricity|SO2|Infant mortality", US_national_yearly!$D:$AM, 10, FALSE), 1)</f>
        <v>3.7409085089308969E-8</v>
      </c>
      <c r="R3" s="7">
        <f>$B3 * IFERROR(VLOOKUP("electricity|SO2|Infant mortality", US_national_yearly!$D:$AM, 26, FALSE) / VLOOKUP("electricity|SO2|Infant mortality", US_national_yearly!$D:$AM, 10, FALSE), 1)</f>
        <v>3.7249758975560888E-8</v>
      </c>
      <c r="S3" s="7">
        <f>$B3 * IFERROR(VLOOKUP("electricity|SO2|Infant mortality", US_national_yearly!$D:$AM, 27, FALSE) / VLOOKUP("electricity|SO2|Infant mortality", US_national_yearly!$D:$AM, 10, FALSE), 1)</f>
        <v>3.7051179163116006E-8</v>
      </c>
      <c r="T3" s="7">
        <f>$B3 * IFERROR(VLOOKUP("electricity|SO2|Infant mortality", US_national_yearly!$D:$AM, 28, FALSE) / VLOOKUP("electricity|SO2|Infant mortality", US_national_yearly!$D:$AM, 10, FALSE), 1)</f>
        <v>3.6852599350671124E-8</v>
      </c>
      <c r="U3" s="7">
        <f>$B3 * IFERROR(VLOOKUP("electricity|SO2|Infant mortality", US_national_yearly!$D:$AM, 29, FALSE) / VLOOKUP("electricity|SO2|Infant mortality", US_national_yearly!$D:$AM, 10, FALSE), 1)</f>
        <v>3.6654019538226249E-8</v>
      </c>
      <c r="V3" s="7">
        <f>$B3 * IFERROR(VLOOKUP("electricity|SO2|Infant mortality", US_national_yearly!$D:$AM, 30, FALSE) / VLOOKUP("electricity|SO2|Infant mortality", US_national_yearly!$D:$AM, 10, FALSE), 1)</f>
        <v>3.6455439725781368E-8</v>
      </c>
      <c r="W3" s="7">
        <f>$B3 * IFERROR(VLOOKUP("electricity|SO2|Infant mortality", US_national_yearly!$D:$AM, 31, FALSE) / VLOOKUP("electricity|SO2|Infant mortality", US_national_yearly!$D:$AM, 10, FALSE), 1)</f>
        <v>3.6256859913336486E-8</v>
      </c>
      <c r="X3" s="7">
        <f>$B3 * IFERROR(VLOOKUP("electricity|SO2|Infant mortality", US_national_yearly!$D:$AM, 32, FALSE) / VLOOKUP("electricity|SO2|Infant mortality", US_national_yearly!$D:$AM, 10, FALSE), 1)</f>
        <v>3.604498106865253E-8</v>
      </c>
      <c r="Y3" s="7">
        <f>$B3 * IFERROR(VLOOKUP("electricity|SO2|Infant mortality", US_national_yearly!$D:$AM, 33, FALSE) / VLOOKUP("electricity|SO2|Infant mortality", US_national_yearly!$D:$AM, 10, FALSE), 1)</f>
        <v>3.5833102223968554E-8</v>
      </c>
      <c r="Z3" s="7">
        <f>$B3 * IFERROR(VLOOKUP("electricity|SO2|Infant mortality", US_national_yearly!$D:$AM, 34, FALSE) / VLOOKUP("electricity|SO2|Infant mortality", US_national_yearly!$D:$AM, 10, FALSE), 1)</f>
        <v>3.5621223379284598E-8</v>
      </c>
      <c r="AA3" s="7">
        <f>$B3 * IFERROR(VLOOKUP("electricity|SO2|Infant mortality", US_national_yearly!$D:$AM, 35, FALSE) / VLOOKUP("electricity|SO2|Infant mortality", US_national_yearly!$D:$AM, 10, FALSE), 1)</f>
        <v>3.5409344534600643E-8</v>
      </c>
      <c r="AB3" s="7">
        <f>$B3 * IFERROR(VLOOKUP("electricity|SO2|Infant mortality", US_national_yearly!$D:$AM, 36, FALSE) / VLOOKUP("electricity|SO2|Infant mortality", US_national_yearly!$D:$AM, 10, FALSE), 1)</f>
        <v>3.519746568991668E-8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1.4356737997714007E-4</v>
      </c>
      <c r="C6" s="7">
        <f>$B6 * IFERROR(VLOOKUP("electricity|SO2|Asthma symptoms cough", US_national_yearly!$D:$AM, 11, FALSE) / VLOOKUP("electricity|SO2|Asthma symptoms cough", US_national_yearly!$D:$AM, 10, FALSE), 1)</f>
        <v>1.4356737997714007E-4</v>
      </c>
      <c r="D6" s="7">
        <f>$B6 * IFERROR(VLOOKUP("electricity|SO2|Asthma symptoms cough", US_national_yearly!$D:$AM, 12, FALSE) / VLOOKUP("electricity|SO2|Asthma symptoms cough", US_national_yearly!$D:$AM, 10, FALSE), 1)</f>
        <v>1.4356737997714007E-4</v>
      </c>
      <c r="E6" s="7">
        <f>$B6 * IFERROR(VLOOKUP("electricity|SO2|Asthma symptoms cough", US_national_yearly!$D:$AM, 13, FALSE) / VLOOKUP("electricity|SO2|Asthma symptoms cough", US_national_yearly!$D:$AM, 10, FALSE), 1)</f>
        <v>1.4356737997714007E-4</v>
      </c>
      <c r="F6" s="7">
        <f>$B6 * IFERROR(VLOOKUP("electricity|SO2|Asthma symptoms cough", US_national_yearly!$D:$AM, 14, FALSE) / VLOOKUP("electricity|SO2|Asthma symptoms cough", US_national_yearly!$D:$AM, 10, FALSE), 1)</f>
        <v>1.4356737997714007E-4</v>
      </c>
      <c r="G6" s="7">
        <f>$B6 * IFERROR(VLOOKUP("electricity|SO2|Asthma symptoms cough", US_national_yearly!$D:$AM, 15, FALSE) / VLOOKUP("electricity|SO2|Asthma symptoms cough", US_national_yearly!$D:$AM, 10, FALSE), 1)</f>
        <v>1.4356737997714007E-4</v>
      </c>
      <c r="H6" s="7">
        <f>$B6 * IFERROR(VLOOKUP("electricity|SO2|Asthma symptoms cough", US_national_yearly!$D:$AM, 16, FALSE) / VLOOKUP("electricity|SO2|Asthma symptoms cough", US_national_yearly!$D:$AM, 10, FALSE), 1)</f>
        <v>1.4356737997714007E-4</v>
      </c>
      <c r="I6" s="7">
        <f>$B6 * IFERROR(VLOOKUP("electricity|SO2|Asthma symptoms cough", US_national_yearly!$D:$AM, 17, FALSE) / VLOOKUP("electricity|SO2|Asthma symptoms cough", US_national_yearly!$D:$AM, 10, FALSE), 1)</f>
        <v>1.4356737997714007E-4</v>
      </c>
      <c r="J6" s="7">
        <f>$B6 * IFERROR(VLOOKUP("electricity|SO2|Asthma symptoms cough", US_national_yearly!$D:$AM, 18, FALSE) / VLOOKUP("electricity|SO2|Asthma symptoms cough", US_national_yearly!$D:$AM, 10, FALSE), 1)</f>
        <v>1.4356737997714007E-4</v>
      </c>
      <c r="K6" s="7">
        <f>$B6 * IFERROR(VLOOKUP("electricity|SO2|Asthma symptoms cough", US_national_yearly!$D:$AM, 19, FALSE) / VLOOKUP("electricity|SO2|Asthma symptoms cough", US_national_yearly!$D:$AM, 10, FALSE), 1)</f>
        <v>1.4356737997714007E-4</v>
      </c>
      <c r="L6" s="7">
        <f>$B6 * IFERROR(VLOOKUP("electricity|SO2|Asthma symptoms cough", US_national_yearly!$D:$AM, 20, FALSE) / VLOOKUP("electricity|SO2|Asthma symptoms cough", US_national_yearly!$D:$AM, 10, FALSE), 1)</f>
        <v>1.4356737997714007E-4</v>
      </c>
      <c r="M6" s="7">
        <f>$B6 * IFERROR(VLOOKUP("electricity|SO2|Asthma symptoms cough", US_national_yearly!$D:$AM, 21, FALSE) / VLOOKUP("electricity|SO2|Asthma symptoms cough", US_national_yearly!$D:$AM, 10, FALSE), 1)</f>
        <v>1.4356737997714007E-4</v>
      </c>
      <c r="N6" s="7">
        <f>$B6 * IFERROR(VLOOKUP("electricity|SO2|Asthma symptoms cough", US_national_yearly!$D:$AM, 22, FALSE) / VLOOKUP("electricity|SO2|Asthma symptoms cough", US_national_yearly!$D:$AM, 10, FALSE), 1)</f>
        <v>1.4356737997714007E-4</v>
      </c>
      <c r="O6" s="7">
        <f>$B6 * IFERROR(VLOOKUP("electricity|SO2|Asthma symptoms cough", US_national_yearly!$D:$AM, 23, FALSE) / VLOOKUP("electricity|SO2|Asthma symptoms cough", US_national_yearly!$D:$AM, 10, FALSE), 1)</f>
        <v>1.4356737997714007E-4</v>
      </c>
      <c r="P6" s="7">
        <f>$B6 * IFERROR(VLOOKUP("electricity|SO2|Asthma symptoms cough", US_national_yearly!$D:$AM, 24, FALSE) / VLOOKUP("electricity|SO2|Asthma symptoms cough", US_national_yearly!$D:$AM, 10, FALSE), 1)</f>
        <v>1.4356737997714007E-4</v>
      </c>
      <c r="Q6" s="7">
        <f>$B6 * IFERROR(VLOOKUP("electricity|SO2|Asthma symptoms cough", US_national_yearly!$D:$AM, 25, FALSE) / VLOOKUP("electricity|SO2|Asthma symptoms cough", US_national_yearly!$D:$AM, 10, FALSE), 1)</f>
        <v>1.4356737997714007E-4</v>
      </c>
      <c r="R6" s="7">
        <f>$B6 * IFERROR(VLOOKUP("electricity|SO2|Asthma symptoms cough", US_national_yearly!$D:$AM, 26, FALSE) / VLOOKUP("electricity|SO2|Asthma symptoms cough", US_national_yearly!$D:$AM, 10, FALSE), 1)</f>
        <v>1.4356737997714007E-4</v>
      </c>
      <c r="S6" s="7">
        <f>$B6 * IFERROR(VLOOKUP("electricity|SO2|Asthma symptoms cough", US_national_yearly!$D:$AM, 27, FALSE) / VLOOKUP("electricity|SO2|Asthma symptoms cough", US_national_yearly!$D:$AM, 10, FALSE), 1)</f>
        <v>1.4356737997714007E-4</v>
      </c>
      <c r="T6" s="7">
        <f>$B6 * IFERROR(VLOOKUP("electricity|SO2|Asthma symptoms cough", US_national_yearly!$D:$AM, 28, FALSE) / VLOOKUP("electricity|SO2|Asthma symptoms cough", US_national_yearly!$D:$AM, 10, FALSE), 1)</f>
        <v>1.4356737997714007E-4</v>
      </c>
      <c r="U6" s="7">
        <f>$B6 * IFERROR(VLOOKUP("electricity|SO2|Asthma symptoms cough", US_national_yearly!$D:$AM, 29, FALSE) / VLOOKUP("electricity|SO2|Asthma symptoms cough", US_national_yearly!$D:$AM, 10, FALSE), 1)</f>
        <v>1.4356737997714007E-4</v>
      </c>
      <c r="V6" s="7">
        <f>$B6 * IFERROR(VLOOKUP("electricity|SO2|Asthma symptoms cough", US_national_yearly!$D:$AM, 30, FALSE) / VLOOKUP("electricity|SO2|Asthma symptoms cough", US_national_yearly!$D:$AM, 10, FALSE), 1)</f>
        <v>1.4356737997714007E-4</v>
      </c>
      <c r="W6" s="7">
        <f>$B6 * IFERROR(VLOOKUP("electricity|SO2|Asthma symptoms cough", US_national_yearly!$D:$AM, 31, FALSE) / VLOOKUP("electricity|SO2|Asthma symptoms cough", US_national_yearly!$D:$AM, 10, FALSE), 1)</f>
        <v>1.4356737997714007E-4</v>
      </c>
      <c r="X6" s="7">
        <f>$B6 * IFERROR(VLOOKUP("electricity|SO2|Asthma symptoms cough", US_national_yearly!$D:$AM, 32, FALSE) / VLOOKUP("electricity|SO2|Asthma symptoms cough", US_national_yearly!$D:$AM, 10, FALSE), 1)</f>
        <v>1.4356737997714007E-4</v>
      </c>
      <c r="Y6" s="7">
        <f>$B6 * IFERROR(VLOOKUP("electricity|SO2|Asthma symptoms cough", US_national_yearly!$D:$AM, 33, FALSE) / VLOOKUP("electricity|SO2|Asthma symptoms cough", US_national_yearly!$D:$AM, 10, FALSE), 1)</f>
        <v>1.4356737997714007E-4</v>
      </c>
      <c r="Z6" s="7">
        <f>$B6 * IFERROR(VLOOKUP("electricity|SO2|Asthma symptoms cough", US_national_yearly!$D:$AM, 34, FALSE) / VLOOKUP("electricity|SO2|Asthma symptoms cough", US_national_yearly!$D:$AM, 10, FALSE), 1)</f>
        <v>1.4356737997714007E-4</v>
      </c>
      <c r="AA6" s="7">
        <f>$B6 * IFERROR(VLOOKUP("electricity|SO2|Asthma symptoms cough", US_national_yearly!$D:$AM, 35, FALSE) / VLOOKUP("electricity|SO2|Asthma symptoms cough", US_national_yearly!$D:$AM, 10, FALSE), 1)</f>
        <v>1.4356737997714007E-4</v>
      </c>
      <c r="AB6" s="7">
        <f>$B6 * IFERROR(VLOOKUP("electricity|SO2|Asthma symptoms cough", US_national_yearly!$D:$AM, 36, FALSE) / VLOOKUP("electricity|SO2|Asthma symptoms cough", US_national_yearly!$D:$AM, 10, FALSE), 1)</f>
        <v>1.4356737997714007E-4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1.9333415867860333E-4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1.9333415867860333E-4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1.9333415867860333E-4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1.9333415867860333E-4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1.9333415867860333E-4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1.9333415867860333E-4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1.9333415867860333E-4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1.9333415867860333E-4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1.9333415867860333E-4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1.9333415867860333E-4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1.9333415867860333E-4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1.9333415867860333E-4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1.9333415867860333E-4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1.9333415867860333E-4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1.9333415867860333E-4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1.9333415867860333E-4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1.9333415867860333E-4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1.9333415867860333E-4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1.9333415867860333E-4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1.9333415867860333E-4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1.9333415867860333E-4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1.9333415867860333E-4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1.9333415867860333E-4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1.9333415867860333E-4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1.9333415867860333E-4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1.9333415867860333E-4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1.9333415867860333E-4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2.9538236729978446E-4</v>
      </c>
      <c r="C8" s="7">
        <f>$B8 * IFERROR(VLOOKUP("electricity|SO2|Asthma symptoms wheeze", US_national_yearly!$D:$AM, 11, FALSE) / VLOOKUP("electricity|SO2|Asthma symptoms wheeze", US_national_yearly!$D:$AM, 10, FALSE), 1)</f>
        <v>2.9538236729978446E-4</v>
      </c>
      <c r="D8" s="7">
        <f>$B8 * IFERROR(VLOOKUP("electricity|SO2|Asthma symptoms wheeze", US_national_yearly!$D:$AM, 12, FALSE) / VLOOKUP("electricity|SO2|Asthma symptoms wheeze", US_national_yearly!$D:$AM, 10, FALSE), 1)</f>
        <v>2.9538236729978446E-4</v>
      </c>
      <c r="E8" s="7">
        <f>$B8 * IFERROR(VLOOKUP("electricity|SO2|Asthma symptoms wheeze", US_national_yearly!$D:$AM, 13, FALSE) / VLOOKUP("electricity|SO2|Asthma symptoms wheeze", US_national_yearly!$D:$AM, 10, FALSE), 1)</f>
        <v>2.9538236729978446E-4</v>
      </c>
      <c r="F8" s="7">
        <f>$B8 * IFERROR(VLOOKUP("electricity|SO2|Asthma symptoms wheeze", US_national_yearly!$D:$AM, 14, FALSE) / VLOOKUP("electricity|SO2|Asthma symptoms wheeze", US_national_yearly!$D:$AM, 10, FALSE), 1)</f>
        <v>2.9538236729978446E-4</v>
      </c>
      <c r="G8" s="7">
        <f>$B8 * IFERROR(VLOOKUP("electricity|SO2|Asthma symptoms wheeze", US_national_yearly!$D:$AM, 15, FALSE) / VLOOKUP("electricity|SO2|Asthma symptoms wheeze", US_national_yearly!$D:$AM, 10, FALSE), 1)</f>
        <v>2.9538236729978446E-4</v>
      </c>
      <c r="H8" s="7">
        <f>$B8 * IFERROR(VLOOKUP("electricity|SO2|Asthma symptoms wheeze", US_national_yearly!$D:$AM, 16, FALSE) / VLOOKUP("electricity|SO2|Asthma symptoms wheeze", US_national_yearly!$D:$AM, 10, FALSE), 1)</f>
        <v>2.9538236729978446E-4</v>
      </c>
      <c r="I8" s="7">
        <f>$B8 * IFERROR(VLOOKUP("electricity|SO2|Asthma symptoms wheeze", US_national_yearly!$D:$AM, 17, FALSE) / VLOOKUP("electricity|SO2|Asthma symptoms wheeze", US_national_yearly!$D:$AM, 10, FALSE), 1)</f>
        <v>2.9538236729978446E-4</v>
      </c>
      <c r="J8" s="7">
        <f>$B8 * IFERROR(VLOOKUP("electricity|SO2|Asthma symptoms wheeze", US_national_yearly!$D:$AM, 18, FALSE) / VLOOKUP("electricity|SO2|Asthma symptoms wheeze", US_national_yearly!$D:$AM, 10, FALSE), 1)</f>
        <v>2.9538236729978446E-4</v>
      </c>
      <c r="K8" s="7">
        <f>$B8 * IFERROR(VLOOKUP("electricity|SO2|Asthma symptoms wheeze", US_national_yearly!$D:$AM, 19, FALSE) / VLOOKUP("electricity|SO2|Asthma symptoms wheeze", US_national_yearly!$D:$AM, 10, FALSE), 1)</f>
        <v>2.9538236729978446E-4</v>
      </c>
      <c r="L8" s="7">
        <f>$B8 * IFERROR(VLOOKUP("electricity|SO2|Asthma symptoms wheeze", US_national_yearly!$D:$AM, 20, FALSE) / VLOOKUP("electricity|SO2|Asthma symptoms wheeze", US_national_yearly!$D:$AM, 10, FALSE), 1)</f>
        <v>2.9538236729978446E-4</v>
      </c>
      <c r="M8" s="7">
        <f>$B8 * IFERROR(VLOOKUP("electricity|SO2|Asthma symptoms wheeze", US_national_yearly!$D:$AM, 21, FALSE) / VLOOKUP("electricity|SO2|Asthma symptoms wheeze", US_national_yearly!$D:$AM, 10, FALSE), 1)</f>
        <v>2.9538236729978446E-4</v>
      </c>
      <c r="N8" s="7">
        <f>$B8 * IFERROR(VLOOKUP("electricity|SO2|Asthma symptoms wheeze", US_national_yearly!$D:$AM, 22, FALSE) / VLOOKUP("electricity|SO2|Asthma symptoms wheeze", US_national_yearly!$D:$AM, 10, FALSE), 1)</f>
        <v>2.9538236729978446E-4</v>
      </c>
      <c r="O8" s="7">
        <f>$B8 * IFERROR(VLOOKUP("electricity|SO2|Asthma symptoms wheeze", US_national_yearly!$D:$AM, 23, FALSE) / VLOOKUP("electricity|SO2|Asthma symptoms wheeze", US_national_yearly!$D:$AM, 10, FALSE), 1)</f>
        <v>2.9538236729978446E-4</v>
      </c>
      <c r="P8" s="7">
        <f>$B8 * IFERROR(VLOOKUP("electricity|SO2|Asthma symptoms wheeze", US_national_yearly!$D:$AM, 24, FALSE) / VLOOKUP("electricity|SO2|Asthma symptoms wheeze", US_national_yearly!$D:$AM, 10, FALSE), 1)</f>
        <v>2.9538236729978446E-4</v>
      </c>
      <c r="Q8" s="7">
        <f>$B8 * IFERROR(VLOOKUP("electricity|SO2|Asthma symptoms wheeze", US_national_yearly!$D:$AM, 25, FALSE) / VLOOKUP("electricity|SO2|Asthma symptoms wheeze", US_national_yearly!$D:$AM, 10, FALSE), 1)</f>
        <v>2.9538236729978446E-4</v>
      </c>
      <c r="R8" s="7">
        <f>$B8 * IFERROR(VLOOKUP("electricity|SO2|Asthma symptoms wheeze", US_national_yearly!$D:$AM, 26, FALSE) / VLOOKUP("electricity|SO2|Asthma symptoms wheeze", US_national_yearly!$D:$AM, 10, FALSE), 1)</f>
        <v>2.9538236729978446E-4</v>
      </c>
      <c r="S8" s="7">
        <f>$B8 * IFERROR(VLOOKUP("electricity|SO2|Asthma symptoms wheeze", US_national_yearly!$D:$AM, 27, FALSE) / VLOOKUP("electricity|SO2|Asthma symptoms wheeze", US_national_yearly!$D:$AM, 10, FALSE), 1)</f>
        <v>2.9538236729978446E-4</v>
      </c>
      <c r="T8" s="7">
        <f>$B8 * IFERROR(VLOOKUP("electricity|SO2|Asthma symptoms wheeze", US_national_yearly!$D:$AM, 28, FALSE) / VLOOKUP("electricity|SO2|Asthma symptoms wheeze", US_national_yearly!$D:$AM, 10, FALSE), 1)</f>
        <v>2.9538236729978446E-4</v>
      </c>
      <c r="U8" s="7">
        <f>$B8 * IFERROR(VLOOKUP("electricity|SO2|Asthma symptoms wheeze", US_national_yearly!$D:$AM, 29, FALSE) / VLOOKUP("electricity|SO2|Asthma symptoms wheeze", US_national_yearly!$D:$AM, 10, FALSE), 1)</f>
        <v>2.9538236729978446E-4</v>
      </c>
      <c r="V8" s="7">
        <f>$B8 * IFERROR(VLOOKUP("electricity|SO2|Asthma symptoms wheeze", US_national_yearly!$D:$AM, 30, FALSE) / VLOOKUP("electricity|SO2|Asthma symptoms wheeze", US_national_yearly!$D:$AM, 10, FALSE), 1)</f>
        <v>2.9538236729978446E-4</v>
      </c>
      <c r="W8" s="7">
        <f>$B8 * IFERROR(VLOOKUP("electricity|SO2|Asthma symptoms wheeze", US_national_yearly!$D:$AM, 31, FALSE) / VLOOKUP("electricity|SO2|Asthma symptoms wheeze", US_national_yearly!$D:$AM, 10, FALSE), 1)</f>
        <v>2.9538236729978446E-4</v>
      </c>
      <c r="X8" s="7">
        <f>$B8 * IFERROR(VLOOKUP("electricity|SO2|Asthma symptoms wheeze", US_national_yearly!$D:$AM, 32, FALSE) / VLOOKUP("electricity|SO2|Asthma symptoms wheeze", US_national_yearly!$D:$AM, 10, FALSE), 1)</f>
        <v>2.9538236729978446E-4</v>
      </c>
      <c r="Y8" s="7">
        <f>$B8 * IFERROR(VLOOKUP("electricity|SO2|Asthma symptoms wheeze", US_national_yearly!$D:$AM, 33, FALSE) / VLOOKUP("electricity|SO2|Asthma symptoms wheeze", US_national_yearly!$D:$AM, 10, FALSE), 1)</f>
        <v>2.9538236729978446E-4</v>
      </c>
      <c r="Z8" s="7">
        <f>$B8 * IFERROR(VLOOKUP("electricity|SO2|Asthma symptoms wheeze", US_national_yearly!$D:$AM, 34, FALSE) / VLOOKUP("electricity|SO2|Asthma symptoms wheeze", US_national_yearly!$D:$AM, 10, FALSE), 1)</f>
        <v>2.9538236729978446E-4</v>
      </c>
      <c r="AA8" s="7">
        <f>$B8 * IFERROR(VLOOKUP("electricity|SO2|Asthma symptoms wheeze", US_national_yearly!$D:$AM, 35, FALSE) / VLOOKUP("electricity|SO2|Asthma symptoms wheeze", US_national_yearly!$D:$AM, 10, FALSE), 1)</f>
        <v>2.9538236729978446E-4</v>
      </c>
      <c r="AB8" s="7">
        <f>$B8 * IFERROR(VLOOKUP("electricity|SO2|Asthma symptoms wheeze", US_national_yearly!$D:$AM, 36, FALSE) / VLOOKUP("electricity|SO2|Asthma symptoms wheeze", US_national_yearly!$D:$AM, 10, FALSE), 1)</f>
        <v>2.9538236729978446E-4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3.0780676522705277E-6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3.0961963346808956E-6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3.114325017091264E-6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3.1324536995016319E-6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3.1505823819120007E-6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3.1703371267038769E-6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3.1900918714957536E-6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3.2090962246856183E-6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3.2281005778754834E-6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3.2471049310653486E-6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3.2661092842552133E-6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3.2851136374450785E-6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3.298744707456114E-6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3.3123757774671505E-6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3.3260068474781861E-6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3.3396379174892216E-6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3.3532689875002581E-6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3.3661347111085245E-6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3.3790004347167922E-6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3.391866158325059E-6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3.4047318819333262E-6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3.4175976055415939E-6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3.4299400408127323E-6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3.4422824760838724E-6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3.4546249113550124E-6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3.4669673466261512E-6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3.4793097818972913E-6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1.6418675745818101E-5</v>
      </c>
      <c r="C13" s="7">
        <f>$B13 * IFERROR(VLOOKUP("electricity|SO2|Non-fatal heart attacks", US_national_yearly!$D:$AM, 11, FALSE) / VLOOKUP("electricity|SO2|Non-fatal heart attacks", US_national_yearly!$D:$AM, 10, FALSE), 1)</f>
        <v>1.6902297190631495E-5</v>
      </c>
      <c r="D13" s="7">
        <f>$B13 * IFERROR(VLOOKUP("electricity|SO2|Non-fatal heart attacks", US_national_yearly!$D:$AM, 12, FALSE) / VLOOKUP("electricity|SO2|Non-fatal heart attacks", US_national_yearly!$D:$AM, 10, FALSE), 1)</f>
        <v>1.7385918635444881E-5</v>
      </c>
      <c r="E13" s="7">
        <f>$B13 * IFERROR(VLOOKUP("electricity|SO2|Non-fatal heart attacks", US_national_yearly!$D:$AM, 13, FALSE) / VLOOKUP("electricity|SO2|Non-fatal heart attacks", US_national_yearly!$D:$AM, 10, FALSE), 1)</f>
        <v>1.7869540080258274E-5</v>
      </c>
      <c r="F13" s="7">
        <f>$B13 * IFERROR(VLOOKUP("electricity|SO2|Non-fatal heart attacks", US_national_yearly!$D:$AM, 14, FALSE) / VLOOKUP("electricity|SO2|Non-fatal heart attacks", US_national_yearly!$D:$AM, 10, FALSE), 1)</f>
        <v>1.8353161525071664E-5</v>
      </c>
      <c r="G13" s="7">
        <f>$B13 * IFERROR(VLOOKUP("electricity|SO2|Non-fatal heart attacks", US_national_yearly!$D:$AM, 15, FALSE) / VLOOKUP("electricity|SO2|Non-fatal heart attacks", US_national_yearly!$D:$AM, 10, FALSE), 1)</f>
        <v>1.8812132786324578E-5</v>
      </c>
      <c r="H13" s="7">
        <f>$B13 * IFERROR(VLOOKUP("electricity|SO2|Non-fatal heart attacks", US_national_yearly!$D:$AM, 16, FALSE) / VLOOKUP("electricity|SO2|Non-fatal heart attacks", US_national_yearly!$D:$AM, 10, FALSE), 1)</f>
        <v>1.9271104047577495E-5</v>
      </c>
      <c r="I13" s="7">
        <f>$B13 * IFERROR(VLOOKUP("electricity|SO2|Non-fatal heart attacks", US_national_yearly!$D:$AM, 17, FALSE) / VLOOKUP("electricity|SO2|Non-fatal heart attacks", US_national_yearly!$D:$AM, 10, FALSE), 1)</f>
        <v>1.9644883605204013E-5</v>
      </c>
      <c r="J13" s="7">
        <f>$B13 * IFERROR(VLOOKUP("electricity|SO2|Non-fatal heart attacks", US_national_yearly!$D:$AM, 18, FALSE) / VLOOKUP("electricity|SO2|Non-fatal heart attacks", US_national_yearly!$D:$AM, 10, FALSE), 1)</f>
        <v>2.0018663162830528E-5</v>
      </c>
      <c r="K13" s="7">
        <f>$B13 * IFERROR(VLOOKUP("electricity|SO2|Non-fatal heart attacks", US_national_yearly!$D:$AM, 19, FALSE) / VLOOKUP("electricity|SO2|Non-fatal heart attacks", US_national_yearly!$D:$AM, 10, FALSE), 1)</f>
        <v>2.0392442720457049E-5</v>
      </c>
      <c r="L13" s="7">
        <f>$B13 * IFERROR(VLOOKUP("electricity|SO2|Non-fatal heart attacks", US_national_yearly!$D:$AM, 20, FALSE) / VLOOKUP("electricity|SO2|Non-fatal heart attacks", US_national_yearly!$D:$AM, 10, FALSE), 1)</f>
        <v>2.0766222278083564E-5</v>
      </c>
      <c r="M13" s="7">
        <f>$B13 * IFERROR(VLOOKUP("electricity|SO2|Non-fatal heart attacks", US_national_yearly!$D:$AM, 21, FALSE) / VLOOKUP("electricity|SO2|Non-fatal heart attacks", US_national_yearly!$D:$AM, 10, FALSE), 1)</f>
        <v>2.1140001835710082E-5</v>
      </c>
      <c r="N13" s="7">
        <f>$B13 * IFERROR(VLOOKUP("electricity|SO2|Non-fatal heart attacks", US_national_yearly!$D:$AM, 22, FALSE) / VLOOKUP("electricity|SO2|Non-fatal heart attacks", US_national_yearly!$D:$AM, 10, FALSE), 1)</f>
        <v>2.1386491857003865E-5</v>
      </c>
      <c r="O13" s="7">
        <f>$B13 * IFERROR(VLOOKUP("electricity|SO2|Non-fatal heart attacks", US_national_yearly!$D:$AM, 23, FALSE) / VLOOKUP("electricity|SO2|Non-fatal heart attacks", US_national_yearly!$D:$AM, 10, FALSE), 1)</f>
        <v>2.1632981878297644E-5</v>
      </c>
      <c r="P13" s="7">
        <f>$B13 * IFERROR(VLOOKUP("electricity|SO2|Non-fatal heart attacks", US_national_yearly!$D:$AM, 24, FALSE) / VLOOKUP("electricity|SO2|Non-fatal heart attacks", US_national_yearly!$D:$AM, 10, FALSE), 1)</f>
        <v>2.187947189959143E-5</v>
      </c>
      <c r="Q13" s="7">
        <f>$B13 * IFERROR(VLOOKUP("electricity|SO2|Non-fatal heart attacks", US_national_yearly!$D:$AM, 25, FALSE) / VLOOKUP("electricity|SO2|Non-fatal heart attacks", US_national_yearly!$D:$AM, 10, FALSE), 1)</f>
        <v>2.2125961920885212E-5</v>
      </c>
      <c r="R13" s="7">
        <f>$B13 * IFERROR(VLOOKUP("electricity|SO2|Non-fatal heart attacks", US_national_yearly!$D:$AM, 26, FALSE) / VLOOKUP("electricity|SO2|Non-fatal heart attacks", US_national_yearly!$D:$AM, 10, FALSE), 1)</f>
        <v>2.2372451942178995E-5</v>
      </c>
      <c r="S13" s="7">
        <f>$B13 * IFERROR(VLOOKUP("electricity|SO2|Non-fatal heart attacks", US_national_yearly!$D:$AM, 27, FALSE) / VLOOKUP("electricity|SO2|Non-fatal heart attacks", US_national_yearly!$D:$AM, 10, FALSE), 1)</f>
        <v>2.2506585946037852E-5</v>
      </c>
      <c r="T13" s="7">
        <f>$B13 * IFERROR(VLOOKUP("electricity|SO2|Non-fatal heart attacks", US_national_yearly!$D:$AM, 28, FALSE) / VLOOKUP("electricity|SO2|Non-fatal heart attacks", US_national_yearly!$D:$AM, 10, FALSE), 1)</f>
        <v>2.2640719949896713E-5</v>
      </c>
      <c r="U13" s="7">
        <f>$B13 * IFERROR(VLOOKUP("electricity|SO2|Non-fatal heart attacks", US_national_yearly!$D:$AM, 29, FALSE) / VLOOKUP("electricity|SO2|Non-fatal heart attacks", US_national_yearly!$D:$AM, 10, FALSE), 1)</f>
        <v>2.2774853953755574E-5</v>
      </c>
      <c r="V13" s="7">
        <f>$B13 * IFERROR(VLOOKUP("electricity|SO2|Non-fatal heart attacks", US_national_yearly!$D:$AM, 30, FALSE) / VLOOKUP("electricity|SO2|Non-fatal heart attacks", US_national_yearly!$D:$AM, 10, FALSE), 1)</f>
        <v>2.2908987957614428E-5</v>
      </c>
      <c r="W13" s="7">
        <f>$B13 * IFERROR(VLOOKUP("electricity|SO2|Non-fatal heart attacks", US_national_yearly!$D:$AM, 31, FALSE) / VLOOKUP("electricity|SO2|Non-fatal heart attacks", US_national_yearly!$D:$AM, 10, FALSE), 1)</f>
        <v>2.3043121961473292E-5</v>
      </c>
      <c r="X13" s="7">
        <f>$B13 * IFERROR(VLOOKUP("electricity|SO2|Non-fatal heart attacks", US_national_yearly!$D:$AM, 32, FALSE) / VLOOKUP("electricity|SO2|Non-fatal heart attacks", US_national_yearly!$D:$AM, 10, FALSE), 1)</f>
        <v>2.3146159269561463E-5</v>
      </c>
      <c r="Y13" s="7">
        <f>$B13 * IFERROR(VLOOKUP("electricity|SO2|Non-fatal heart attacks", US_national_yearly!$D:$AM, 33, FALSE) / VLOOKUP("electricity|SO2|Non-fatal heart attacks", US_national_yearly!$D:$AM, 10, FALSE), 1)</f>
        <v>2.3249196577649636E-5</v>
      </c>
      <c r="Z13" s="7">
        <f>$B13 * IFERROR(VLOOKUP("electricity|SO2|Non-fatal heart attacks", US_national_yearly!$D:$AM, 34, FALSE) / VLOOKUP("electricity|SO2|Non-fatal heart attacks", US_national_yearly!$D:$AM, 10, FALSE), 1)</f>
        <v>2.3352233885737803E-5</v>
      </c>
      <c r="AA13" s="7">
        <f>$B13 * IFERROR(VLOOKUP("electricity|SO2|Non-fatal heart attacks", US_national_yearly!$D:$AM, 35, FALSE) / VLOOKUP("electricity|SO2|Non-fatal heart attacks", US_national_yearly!$D:$AM, 10, FALSE), 1)</f>
        <v>2.3455271193825973E-5</v>
      </c>
      <c r="AB13" s="7">
        <f>$B13 * IFERROR(VLOOKUP("electricity|SO2|Non-fatal heart attacks", US_national_yearly!$D:$AM, 36, FALSE) / VLOOKUP("electricity|SO2|Non-fatal heart attacks", US_national_yearly!$D:$AM, 10, FALSE), 1)</f>
        <v>2.3558308501914143E-5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1.5963936375122206E-2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1.600405298355868E-2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1.6044169591995155E-2</v>
      </c>
      <c r="E14" s="7">
        <f>$B14 * IFERROR(VLOOKUP("electricity|SO2|Minor restricted activity days", US_national_yearly!$D:$AM, 13, FALSE) / VLOOKUP("electricity|SO2|Minor restricted activity days", US_national_yearly!$D:$AM, 10, FALSE), 1)</f>
        <v>1.6084286200431636E-2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1.6124402808868107E-2</v>
      </c>
      <c r="G14" s="7">
        <f>$B14 * IFERROR(VLOOKUP("electricity|SO2|Minor restricted activity days", US_national_yearly!$D:$AM, 15, FALSE) / VLOOKUP("electricity|SO2|Minor restricted activity days", US_national_yearly!$D:$AM, 10, FALSE), 1)</f>
        <v>1.6182362635110178E-2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1.624032246135225E-2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1.6339728025753147E-2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1.6439133590154045E-2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1.6538539154554943E-2</v>
      </c>
      <c r="L14" s="7">
        <f>$B14 * IFERROR(VLOOKUP("electricity|SO2|Minor restricted activity days", US_national_yearly!$D:$AM, 20, FALSE) / VLOOKUP("electricity|SO2|Minor restricted activity days", US_national_yearly!$D:$AM, 10, FALSE), 1)</f>
        <v>1.6637944718955848E-2</v>
      </c>
      <c r="M14" s="7">
        <f>$B14 * IFERROR(VLOOKUP("electricity|SO2|Minor restricted activity days", US_national_yearly!$D:$AM, 21, FALSE) / VLOOKUP("electricity|SO2|Minor restricted activity days", US_national_yearly!$D:$AM, 10, FALSE), 1)</f>
        <v>1.6737350283356746E-2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1.6874246104416457E-2</v>
      </c>
      <c r="O14" s="7">
        <f>$B14 * IFERROR(VLOOKUP("electricity|SO2|Minor restricted activity days", US_national_yearly!$D:$AM, 23, FALSE) / VLOOKUP("electricity|SO2|Minor restricted activity days", US_national_yearly!$D:$AM, 10, FALSE), 1)</f>
        <v>1.7011141925476165E-2</v>
      </c>
      <c r="P14" s="7">
        <f>$B14 * IFERROR(VLOOKUP("electricity|SO2|Minor restricted activity days", US_national_yearly!$D:$AM, 24, FALSE) / VLOOKUP("electricity|SO2|Minor restricted activity days", US_national_yearly!$D:$AM, 10, FALSE), 1)</f>
        <v>1.7148037746535873E-2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1.7284933567595587E-2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1.7421829388655295E-2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1.7562169188045283E-2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1.7702508987435271E-2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1.7842848786825256E-2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1.7983188586215244E-2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1.8123528385605232E-2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1.8247012028185558E-2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1.8370495670765884E-2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1.8493979313346211E-2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1.8617462955926541E-2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1.8740946598506864E-2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2.7146549214685828E-3</v>
      </c>
      <c r="C15" s="7">
        <f>$B15 * IFERROR(VLOOKUP("electricity|SO2|Work loss days", US_national_yearly!$D:$AM, 11, FALSE) / VLOOKUP("electricity|SO2|Work loss days", US_national_yearly!$D:$AM, 10, FALSE), 1)</f>
        <v>2.7234450562040741E-3</v>
      </c>
      <c r="D15" s="7">
        <f>$B15 * IFERROR(VLOOKUP("electricity|SO2|Work loss days", US_national_yearly!$D:$AM, 12, FALSE) / VLOOKUP("electricity|SO2|Work loss days", US_national_yearly!$D:$AM, 10, FALSE), 1)</f>
        <v>2.7322351909395649E-3</v>
      </c>
      <c r="E15" s="7">
        <f>$B15 * IFERROR(VLOOKUP("electricity|SO2|Work loss days", US_national_yearly!$D:$AM, 13, FALSE) / VLOOKUP("electricity|SO2|Work loss days", US_national_yearly!$D:$AM, 10, FALSE), 1)</f>
        <v>2.7410253256750566E-3</v>
      </c>
      <c r="F15" s="7">
        <f>$B15 * IFERROR(VLOOKUP("electricity|SO2|Work loss days", US_national_yearly!$D:$AM, 14, FALSE) / VLOOKUP("electricity|SO2|Work loss days", US_national_yearly!$D:$AM, 10, FALSE), 1)</f>
        <v>2.7498154604105479E-3</v>
      </c>
      <c r="G15" s="7">
        <f>$B15 * IFERROR(VLOOKUP("electricity|SO2|Work loss days", US_national_yearly!$D:$AM, 15, FALSE) / VLOOKUP("electricity|SO2|Work loss days", US_national_yearly!$D:$AM, 10, FALSE), 1)</f>
        <v>2.7610761676781677E-3</v>
      </c>
      <c r="H15" s="7">
        <f>$B15 * IFERROR(VLOOKUP("electricity|SO2|Work loss days", US_national_yearly!$D:$AM, 16, FALSE) / VLOOKUP("electricity|SO2|Work loss days", US_national_yearly!$D:$AM, 10, FALSE), 1)</f>
        <v>2.7723368749457875E-3</v>
      </c>
      <c r="I15" s="7">
        <f>$B15 * IFERROR(VLOOKUP("electricity|SO2|Work loss days", US_national_yearly!$D:$AM, 17, FALSE) / VLOOKUP("electricity|SO2|Work loss days", US_national_yearly!$D:$AM, 10, FALSE), 1)</f>
        <v>2.7888126142647136E-3</v>
      </c>
      <c r="J15" s="7">
        <f>$B15 * IFERROR(VLOOKUP("electricity|SO2|Work loss days", US_national_yearly!$D:$AM, 18, FALSE) / VLOOKUP("electricity|SO2|Work loss days", US_national_yearly!$D:$AM, 10, FALSE), 1)</f>
        <v>2.8052883535836389E-3</v>
      </c>
      <c r="K15" s="7">
        <f>$B15 * IFERROR(VLOOKUP("electricity|SO2|Work loss days", US_national_yearly!$D:$AM, 19, FALSE) / VLOOKUP("electricity|SO2|Work loss days", US_national_yearly!$D:$AM, 10, FALSE), 1)</f>
        <v>2.8217640929025655E-3</v>
      </c>
      <c r="L15" s="7">
        <f>$B15 * IFERROR(VLOOKUP("electricity|SO2|Work loss days", US_national_yearly!$D:$AM, 20, FALSE) / VLOOKUP("electricity|SO2|Work loss days", US_national_yearly!$D:$AM, 10, FALSE), 1)</f>
        <v>2.8382398322214907E-3</v>
      </c>
      <c r="M15" s="7">
        <f>$B15 * IFERROR(VLOOKUP("electricity|SO2|Work loss days", US_national_yearly!$D:$AM, 21, FALSE) / VLOOKUP("electricity|SO2|Work loss days", US_national_yearly!$D:$AM, 10, FALSE), 1)</f>
        <v>2.8547155715404173E-3</v>
      </c>
      <c r="N15" s="7">
        <f>$B15 * IFERROR(VLOOKUP("electricity|SO2|Work loss days", US_national_yearly!$D:$AM, 22, FALSE) / VLOOKUP("electricity|SO2|Work loss days", US_national_yearly!$D:$AM, 10, FALSE), 1)</f>
        <v>2.875561479200343E-3</v>
      </c>
      <c r="O15" s="7">
        <f>$B15 * IFERROR(VLOOKUP("electricity|SO2|Work loss days", US_national_yearly!$D:$AM, 23, FALSE) / VLOOKUP("electricity|SO2|Work loss days", US_national_yearly!$D:$AM, 10, FALSE), 1)</f>
        <v>2.8964073868602688E-3</v>
      </c>
      <c r="P15" s="7">
        <f>$B15 * IFERROR(VLOOKUP("electricity|SO2|Work loss days", US_national_yearly!$D:$AM, 24, FALSE) / VLOOKUP("electricity|SO2|Work loss days", US_national_yearly!$D:$AM, 10, FALSE), 1)</f>
        <v>2.917253294520195E-3</v>
      </c>
      <c r="Q15" s="7">
        <f>$B15 * IFERROR(VLOOKUP("electricity|SO2|Work loss days", US_national_yearly!$D:$AM, 25, FALSE) / VLOOKUP("electricity|SO2|Work loss days", US_national_yearly!$D:$AM, 10, FALSE), 1)</f>
        <v>2.9380992021801203E-3</v>
      </c>
      <c r="R15" s="7">
        <f>$B15 * IFERROR(VLOOKUP("electricity|SO2|Work loss days", US_national_yearly!$D:$AM, 26, FALSE) / VLOOKUP("electricity|SO2|Work loss days", US_national_yearly!$D:$AM, 10, FALSE), 1)</f>
        <v>2.9589451098400465E-3</v>
      </c>
      <c r="S15" s="7">
        <f>$B15 * IFERROR(VLOOKUP("electricity|SO2|Work loss days", US_national_yearly!$D:$AM, 27, FALSE) / VLOOKUP("electricity|SO2|Work loss days", US_national_yearly!$D:$AM, 10, FALSE), 1)</f>
        <v>2.9823153176057079E-3</v>
      </c>
      <c r="T15" s="7">
        <f>$B15 * IFERROR(VLOOKUP("electricity|SO2|Work loss days", US_national_yearly!$D:$AM, 28, FALSE) / VLOOKUP("electricity|SO2|Work loss days", US_national_yearly!$D:$AM, 10, FALSE), 1)</f>
        <v>3.0056855253713698E-3</v>
      </c>
      <c r="U15" s="7">
        <f>$B15 * IFERROR(VLOOKUP("electricity|SO2|Work loss days", US_national_yearly!$D:$AM, 29, FALSE) / VLOOKUP("electricity|SO2|Work loss days", US_national_yearly!$D:$AM, 10, FALSE), 1)</f>
        <v>3.0290557331370317E-3</v>
      </c>
      <c r="V15" s="7">
        <f>$B15 * IFERROR(VLOOKUP("electricity|SO2|Work loss days", US_national_yearly!$D:$AM, 30, FALSE) / VLOOKUP("electricity|SO2|Work loss days", US_national_yearly!$D:$AM, 10, FALSE), 1)</f>
        <v>3.052425940902694E-3</v>
      </c>
      <c r="W15" s="7">
        <f>$B15 * IFERROR(VLOOKUP("electricity|SO2|Work loss days", US_national_yearly!$D:$AM, 31, FALSE) / VLOOKUP("electricity|SO2|Work loss days", US_national_yearly!$D:$AM, 10, FALSE), 1)</f>
        <v>3.0757961486683558E-3</v>
      </c>
      <c r="X15" s="7">
        <f>$B15 * IFERROR(VLOOKUP("electricity|SO2|Work loss days", US_national_yearly!$D:$AM, 32, FALSE) / VLOOKUP("electricity|SO2|Work loss days", US_national_yearly!$D:$AM, 10, FALSE), 1)</f>
        <v>3.0968503944144004E-3</v>
      </c>
      <c r="Y15" s="7">
        <f>$B15 * IFERROR(VLOOKUP("electricity|SO2|Work loss days", US_national_yearly!$D:$AM, 33, FALSE) / VLOOKUP("electricity|SO2|Work loss days", US_national_yearly!$D:$AM, 10, FALSE), 1)</f>
        <v>3.1179046401604445E-3</v>
      </c>
      <c r="Z15" s="7">
        <f>$B15 * IFERROR(VLOOKUP("electricity|SO2|Work loss days", US_national_yearly!$D:$AM, 34, FALSE) / VLOOKUP("electricity|SO2|Work loss days", US_national_yearly!$D:$AM, 10, FALSE), 1)</f>
        <v>3.1389588859064882E-3</v>
      </c>
      <c r="AA15" s="7">
        <f>$B15 * IFERROR(VLOOKUP("electricity|SO2|Work loss days", US_national_yearly!$D:$AM, 35, FALSE) / VLOOKUP("electricity|SO2|Work loss days", US_national_yearly!$D:$AM, 10, FALSE), 1)</f>
        <v>3.1600131316525328E-3</v>
      </c>
      <c r="AB15" s="7">
        <f>$B15 * IFERROR(VLOOKUP("electricity|SO2|Work loss days", US_national_yearly!$D:$AM, 36, FALSE) / VLOOKUP("electricity|SO2|Work loss days", US_national_yearly!$D:$AM, 10, FALSE), 1)</f>
        <v>3.1810673773985773E-3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3.5623465008025763E-6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3.670295502466086E-6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3.7782445041295958E-6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3.8861935057931064E-6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3.9941425074566157E-6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4.0981984663825668E-6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4.2022544253085179E-6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4.2923398873786321E-6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4.3824253494487472E-6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4.4725108115188614E-6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4.5625962735889747E-6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4.6526817356590897E-6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4.7141648233436172E-6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4.7756479110281438E-6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4.8371309987126739E-6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4.8986140863972005E-6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4.960097174081728E-6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4.9938033290816786E-6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5.0275094840816284E-6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5.061215639081579E-6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5.0949217940815288E-6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5.1286279490814786E-6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5.1518948973710167E-6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5.1751618456605523E-6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5.1984287939500887E-6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5.221695742239626E-6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5.2449626905291624E-6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6.6892684205205506E-4</v>
      </c>
      <c r="C2" s="7">
        <f>$B2 * IFERROR(VLOOKUP("buildings|PM25|Premature mortality", US_national_yearly!$D:$AM, 11, FALSE) / VLOOKUP("buildings|PM25|Premature mortality", US_national_yearly!$D:$AM, 10, FALSE), 1)</f>
        <v>6.7722607584684948E-4</v>
      </c>
      <c r="D2" s="7">
        <f>$B2 * IFERROR(VLOOKUP("buildings|PM25|Premature mortality", US_national_yearly!$D:$AM, 12, FALSE) / VLOOKUP("buildings|PM25|Premature mortality", US_national_yearly!$D:$AM, 10, FALSE), 1)</f>
        <v>6.8552530964164401E-4</v>
      </c>
      <c r="E2" s="7">
        <f>$B2 * IFERROR(VLOOKUP("buildings|PM25|Premature mortality", US_national_yearly!$D:$AM, 13, FALSE) / VLOOKUP("buildings|PM25|Premature mortality", US_national_yearly!$D:$AM, 10, FALSE), 1)</f>
        <v>6.9382454343643843E-4</v>
      </c>
      <c r="F2" s="7">
        <f>$B2 * IFERROR(VLOOKUP("buildings|PM25|Premature mortality", US_national_yearly!$D:$AM, 14, FALSE) / VLOOKUP("buildings|PM25|Premature mortality", US_national_yearly!$D:$AM, 10, FALSE), 1)</f>
        <v>7.0212377723123296E-4</v>
      </c>
      <c r="G2" s="7">
        <f>$B2 * IFERROR(VLOOKUP("buildings|PM25|Premature mortality", US_national_yearly!$D:$AM, 15, FALSE) / VLOOKUP("buildings|PM25|Premature mortality", US_national_yearly!$D:$AM, 10, FALSE), 1)</f>
        <v>7.1828408736250939E-4</v>
      </c>
      <c r="H2" s="7">
        <f>$B2 * IFERROR(VLOOKUP("buildings|PM25|Premature mortality", US_national_yearly!$D:$AM, 16, FALSE) / VLOOKUP("buildings|PM25|Premature mortality", US_national_yearly!$D:$AM, 10, FALSE), 1)</f>
        <v>7.3444439749378594E-4</v>
      </c>
      <c r="I2" s="7">
        <f>$B2 * IFERROR(VLOOKUP("buildings|PM25|Premature mortality", US_national_yearly!$D:$AM, 17, FALSE) / VLOOKUP("buildings|PM25|Premature mortality", US_national_yearly!$D:$AM, 10, FALSE), 1)</f>
        <v>7.4507275512137043E-4</v>
      </c>
      <c r="J2" s="7">
        <f>$B2 * IFERROR(VLOOKUP("buildings|PM25|Premature mortality", US_national_yearly!$D:$AM, 18, FALSE) / VLOOKUP("buildings|PM25|Premature mortality", US_national_yearly!$D:$AM, 10, FALSE), 1)</f>
        <v>7.5570111274895504E-4</v>
      </c>
      <c r="K2" s="7">
        <f>$B2 * IFERROR(VLOOKUP("buildings|PM25|Premature mortality", US_national_yearly!$D:$AM, 19, FALSE) / VLOOKUP("buildings|PM25|Premature mortality", US_national_yearly!$D:$AM, 10, FALSE), 1)</f>
        <v>7.6632947037653953E-4</v>
      </c>
      <c r="L2" s="7">
        <f>$B2 * IFERROR(VLOOKUP("buildings|PM25|Premature mortality", US_national_yearly!$D:$AM, 20, FALSE) / VLOOKUP("buildings|PM25|Premature mortality", US_national_yearly!$D:$AM, 10, FALSE), 1)</f>
        <v>7.7695782800412414E-4</v>
      </c>
      <c r="M2" s="7">
        <f>$B2 * IFERROR(VLOOKUP("buildings|PM25|Premature mortality", US_national_yearly!$D:$AM, 21, FALSE) / VLOOKUP("buildings|PM25|Premature mortality", US_national_yearly!$D:$AM, 10, FALSE), 1)</f>
        <v>7.8758618563170863E-4</v>
      </c>
      <c r="N2" s="7">
        <f>$B2 * IFERROR(VLOOKUP("buildings|PM25|Premature mortality", US_national_yearly!$D:$AM, 22, FALSE) / VLOOKUP("buildings|PM25|Premature mortality", US_national_yearly!$D:$AM, 10, FALSE), 1)</f>
        <v>7.9585091494208289E-4</v>
      </c>
      <c r="O2" s="7">
        <f>$B2 * IFERROR(VLOOKUP("buildings|PM25|Premature mortality", US_national_yearly!$D:$AM, 23, FALSE) / VLOOKUP("buildings|PM25|Premature mortality", US_national_yearly!$D:$AM, 10, FALSE), 1)</f>
        <v>8.0411564425245715E-4</v>
      </c>
      <c r="P2" s="7">
        <f>$B2 * IFERROR(VLOOKUP("buildings|PM25|Premature mortality", US_national_yearly!$D:$AM, 24, FALSE) / VLOOKUP("buildings|PM25|Premature mortality", US_national_yearly!$D:$AM, 10, FALSE), 1)</f>
        <v>8.1238037356283141E-4</v>
      </c>
      <c r="Q2" s="7">
        <f>$B2 * IFERROR(VLOOKUP("buildings|PM25|Premature mortality", US_national_yearly!$D:$AM, 25, FALSE) / VLOOKUP("buildings|PM25|Premature mortality", US_national_yearly!$D:$AM, 10, FALSE), 1)</f>
        <v>8.2064510287320589E-4</v>
      </c>
      <c r="R2" s="7">
        <f>$B2 * IFERROR(VLOOKUP("buildings|PM25|Premature mortality", US_national_yearly!$D:$AM, 26, FALSE) / VLOOKUP("buildings|PM25|Premature mortality", US_national_yearly!$D:$AM, 10, FALSE), 1)</f>
        <v>8.2890983218358015E-4</v>
      </c>
      <c r="S2" s="7">
        <f>$B2 * IFERROR(VLOOKUP("buildings|PM25|Premature mortality", US_national_yearly!$D:$AM, 27, FALSE) / VLOOKUP("buildings|PM25|Premature mortality", US_national_yearly!$D:$AM, 10, FALSE), 1)</f>
        <v>8.3330261790458997E-4</v>
      </c>
      <c r="T2" s="7">
        <f>$B2 * IFERROR(VLOOKUP("buildings|PM25|Premature mortality", US_national_yearly!$D:$AM, 28, FALSE) / VLOOKUP("buildings|PM25|Premature mortality", US_national_yearly!$D:$AM, 10, FALSE), 1)</f>
        <v>8.3769540362560002E-4</v>
      </c>
      <c r="U2" s="7">
        <f>$B2 * IFERROR(VLOOKUP("buildings|PM25|Premature mortality", US_national_yearly!$D:$AM, 29, FALSE) / VLOOKUP("buildings|PM25|Premature mortality", US_national_yearly!$D:$AM, 10, FALSE), 1)</f>
        <v>8.4208818934661007E-4</v>
      </c>
      <c r="V2" s="7">
        <f>$B2 * IFERROR(VLOOKUP("buildings|PM25|Premature mortality", US_national_yearly!$D:$AM, 30, FALSE) / VLOOKUP("buildings|PM25|Premature mortality", US_national_yearly!$D:$AM, 10, FALSE), 1)</f>
        <v>8.4648097506762E-4</v>
      </c>
      <c r="W2" s="7">
        <f>$B2 * IFERROR(VLOOKUP("buildings|PM25|Premature mortality", US_national_yearly!$D:$AM, 31, FALSE) / VLOOKUP("buildings|PM25|Premature mortality", US_national_yearly!$D:$AM, 10, FALSE), 1)</f>
        <v>8.5087376078862994E-4</v>
      </c>
      <c r="X2" s="7">
        <f>$B2 * IFERROR(VLOOKUP("buildings|PM25|Premature mortality", US_national_yearly!$D:$AM, 32, FALSE) / VLOOKUP("buildings|PM25|Premature mortality", US_national_yearly!$D:$AM, 10, FALSE), 1)</f>
        <v>8.5166223055954129E-4</v>
      </c>
      <c r="Y2" s="7">
        <f>$B2 * IFERROR(VLOOKUP("buildings|PM25|Premature mortality", US_national_yearly!$D:$AM, 33, FALSE) / VLOOKUP("buildings|PM25|Premature mortality", US_national_yearly!$D:$AM, 10, FALSE), 1)</f>
        <v>8.5245070033045252E-4</v>
      </c>
      <c r="Z2" s="7">
        <f>$B2 * IFERROR(VLOOKUP("buildings|PM25|Premature mortality", US_national_yearly!$D:$AM, 34, FALSE) / VLOOKUP("buildings|PM25|Premature mortality", US_national_yearly!$D:$AM, 10, FALSE), 1)</f>
        <v>8.5323917010136398E-4</v>
      </c>
      <c r="AA2" s="7">
        <f>$B2 * IFERROR(VLOOKUP("buildings|PM25|Premature mortality", US_national_yearly!$D:$AM, 35, FALSE) / VLOOKUP("buildings|PM25|Premature mortality", US_national_yearly!$D:$AM, 10, FALSE), 1)</f>
        <v>8.5402763987227532E-4</v>
      </c>
      <c r="AB2" s="7">
        <f>$B2 * IFERROR(VLOOKUP("buildings|PM25|Premature mortality", US_national_yearly!$D:$AM, 36, FALSE) / VLOOKUP("buildings|PM25|Premature mortality", US_national_yearly!$D:$AM, 10, FALSE), 1)</f>
        <v>8.5481610964318656E-4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1.6349324471651596E-6</v>
      </c>
      <c r="C3" s="7">
        <f>$B3 * IFERROR(VLOOKUP("buildings|PM25|Infant mortality", US_national_yearly!$D:$AM, 11, FALSE) / VLOOKUP("buildings|PM25|Infant mortality", US_national_yearly!$D:$AM, 10, FALSE), 1)</f>
        <v>1.6207712874213387E-6</v>
      </c>
      <c r="D3" s="7">
        <f>$B3 * IFERROR(VLOOKUP("buildings|PM25|Infant mortality", US_national_yearly!$D:$AM, 12, FALSE) / VLOOKUP("buildings|PM25|Infant mortality", US_national_yearly!$D:$AM, 10, FALSE), 1)</f>
        <v>1.6066101276775175E-6</v>
      </c>
      <c r="E3" s="7">
        <f>$B3 * IFERROR(VLOOKUP("buildings|PM25|Infant mortality", US_national_yearly!$D:$AM, 13, FALSE) / VLOOKUP("buildings|PM25|Infant mortality", US_national_yearly!$D:$AM, 10, FALSE), 1)</f>
        <v>1.5924489679336965E-6</v>
      </c>
      <c r="F3" s="7">
        <f>$B3 * IFERROR(VLOOKUP("buildings|PM25|Infant mortality", US_national_yearly!$D:$AM, 14, FALSE) / VLOOKUP("buildings|PM25|Infant mortality", US_national_yearly!$D:$AM, 10, FALSE), 1)</f>
        <v>1.5782878081898756E-6</v>
      </c>
      <c r="G3" s="7">
        <f>$B3 * IFERROR(VLOOKUP("buildings|PM25|Infant mortality", US_national_yearly!$D:$AM, 15, FALSE) / VLOOKUP("buildings|PM25|Infant mortality", US_national_yearly!$D:$AM, 10, FALSE), 1)</f>
        <v>1.0495041334663229E-6</v>
      </c>
      <c r="H3" s="7">
        <f>$B3 * IFERROR(VLOOKUP("buildings|PM25|Infant mortality", US_national_yearly!$D:$AM, 16, FALSE) / VLOOKUP("buildings|PM25|Infant mortality", US_national_yearly!$D:$AM, 10, FALSE), 1)</f>
        <v>5.2072045874277043E-7</v>
      </c>
      <c r="I3" s="7">
        <f>$B3 * IFERROR(VLOOKUP("buildings|PM25|Infant mortality", US_national_yearly!$D:$AM, 17, FALSE) / VLOOKUP("buildings|PM25|Infant mortality", US_national_yearly!$D:$AM, 10, FALSE), 1)</f>
        <v>5.1732723301332733E-7</v>
      </c>
      <c r="J3" s="7">
        <f>$B3 * IFERROR(VLOOKUP("buildings|PM25|Infant mortality", US_national_yearly!$D:$AM, 18, FALSE) / VLOOKUP("buildings|PM25|Infant mortality", US_national_yearly!$D:$AM, 10, FALSE), 1)</f>
        <v>5.1393400728388423E-7</v>
      </c>
      <c r="K3" s="7">
        <f>$B3 * IFERROR(VLOOKUP("buildings|PM25|Infant mortality", US_national_yearly!$D:$AM, 19, FALSE) / VLOOKUP("buildings|PM25|Infant mortality", US_national_yearly!$D:$AM, 10, FALSE), 1)</f>
        <v>5.1054078155444124E-7</v>
      </c>
      <c r="L3" s="7">
        <f>$B3 * IFERROR(VLOOKUP("buildings|PM25|Infant mortality", US_national_yearly!$D:$AM, 20, FALSE) / VLOOKUP("buildings|PM25|Infant mortality", US_national_yearly!$D:$AM, 10, FALSE), 1)</f>
        <v>5.0714755582499814E-7</v>
      </c>
      <c r="M3" s="7">
        <f>$B3 * IFERROR(VLOOKUP("buildings|PM25|Infant mortality", US_national_yearly!$D:$AM, 21, FALSE) / VLOOKUP("buildings|PM25|Infant mortality", US_national_yearly!$D:$AM, 10, FALSE), 1)</f>
        <v>5.0375433009555504E-7</v>
      </c>
      <c r="N3" s="7">
        <f>$B3 * IFERROR(VLOOKUP("buildings|PM25|Infant mortality", US_national_yearly!$D:$AM, 22, FALSE) / VLOOKUP("buildings|PM25|Infant mortality", US_national_yearly!$D:$AM, 10, FALSE), 1)</f>
        <v>5.0163120331910536E-7</v>
      </c>
      <c r="O3" s="7">
        <f>$B3 * IFERROR(VLOOKUP("buildings|PM25|Infant mortality", US_national_yearly!$D:$AM, 23, FALSE) / VLOOKUP("buildings|PM25|Infant mortality", US_national_yearly!$D:$AM, 10, FALSE), 1)</f>
        <v>4.995080765426558E-7</v>
      </c>
      <c r="P3" s="7">
        <f>$B3 * IFERROR(VLOOKUP("buildings|PM25|Infant mortality", US_national_yearly!$D:$AM, 24, FALSE) / VLOOKUP("buildings|PM25|Infant mortality", US_national_yearly!$D:$AM, 10, FALSE), 1)</f>
        <v>4.9738494976620613E-7</v>
      </c>
      <c r="Q3" s="7">
        <f>$B3 * IFERROR(VLOOKUP("buildings|PM25|Infant mortality", US_national_yearly!$D:$AM, 25, FALSE) / VLOOKUP("buildings|PM25|Infant mortality", US_national_yearly!$D:$AM, 10, FALSE), 1)</f>
        <v>4.9526182298975646E-7</v>
      </c>
      <c r="R3" s="7">
        <f>$B3 * IFERROR(VLOOKUP("buildings|PM25|Infant mortality", US_national_yearly!$D:$AM, 26, FALSE) / VLOOKUP("buildings|PM25|Infant mortality", US_national_yearly!$D:$AM, 10, FALSE), 1)</f>
        <v>4.9313869621330689E-7</v>
      </c>
      <c r="S3" s="7">
        <f>$B3 * IFERROR(VLOOKUP("buildings|PM25|Infant mortality", US_national_yearly!$D:$AM, 27, FALSE) / VLOOKUP("buildings|PM25|Infant mortality", US_national_yearly!$D:$AM, 10, FALSE), 1)</f>
        <v>4.9048782644123079E-7</v>
      </c>
      <c r="T3" s="7">
        <f>$B3 * IFERROR(VLOOKUP("buildings|PM25|Infant mortality", US_national_yearly!$D:$AM, 28, FALSE) / VLOOKUP("buildings|PM25|Infant mortality", US_national_yearly!$D:$AM, 10, FALSE), 1)</f>
        <v>4.8783695666915479E-7</v>
      </c>
      <c r="U3" s="7">
        <f>$B3 * IFERROR(VLOOKUP("buildings|PM25|Infant mortality", US_national_yearly!$D:$AM, 29, FALSE) / VLOOKUP("buildings|PM25|Infant mortality", US_national_yearly!$D:$AM, 10, FALSE), 1)</f>
        <v>4.8518608689707857E-7</v>
      </c>
      <c r="V3" s="7">
        <f>$B3 * IFERROR(VLOOKUP("buildings|PM25|Infant mortality", US_national_yearly!$D:$AM, 30, FALSE) / VLOOKUP("buildings|PM25|Infant mortality", US_national_yearly!$D:$AM, 10, FALSE), 1)</f>
        <v>4.8253521712500257E-7</v>
      </c>
      <c r="W3" s="7">
        <f>$B3 * IFERROR(VLOOKUP("buildings|PM25|Infant mortality", US_national_yearly!$D:$AM, 31, FALSE) / VLOOKUP("buildings|PM25|Infant mortality", US_national_yearly!$D:$AM, 10, FALSE), 1)</f>
        <v>4.7988434735292647E-7</v>
      </c>
      <c r="X3" s="7">
        <f>$B3 * IFERROR(VLOOKUP("buildings|PM25|Infant mortality", US_national_yearly!$D:$AM, 32, FALSE) / VLOOKUP("buildings|PM25|Infant mortality", US_national_yearly!$D:$AM, 10, FALSE), 1)</f>
        <v>4.7703034473364235E-7</v>
      </c>
      <c r="Y3" s="7">
        <f>$B3 * IFERROR(VLOOKUP("buildings|PM25|Infant mortality", US_national_yearly!$D:$AM, 33, FALSE) / VLOOKUP("buildings|PM25|Infant mortality", US_national_yearly!$D:$AM, 10, FALSE), 1)</f>
        <v>4.7417634211435834E-7</v>
      </c>
      <c r="Z3" s="7">
        <f>$B3 * IFERROR(VLOOKUP("buildings|PM25|Infant mortality", US_national_yearly!$D:$AM, 34, FALSE) / VLOOKUP("buildings|PM25|Infant mortality", US_national_yearly!$D:$AM, 10, FALSE), 1)</f>
        <v>4.7132233949507422E-7</v>
      </c>
      <c r="AA3" s="7">
        <f>$B3 * IFERROR(VLOOKUP("buildings|PM25|Infant mortality", US_national_yearly!$D:$AM, 35, FALSE) / VLOOKUP("buildings|PM25|Infant mortality", US_national_yearly!$D:$AM, 10, FALSE), 1)</f>
        <v>4.684683368757901E-7</v>
      </c>
      <c r="AB3" s="7">
        <f>$B3 * IFERROR(VLOOKUP("buildings|PM25|Infant mortality", US_national_yearly!$D:$AM, 36, FALSE) / VLOOKUP("buildings|PM25|Infant mortality", US_national_yearly!$D:$AM, 10, FALSE), 1)</f>
        <v>4.6561433425650608E-7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1.9468582978803928E-3</v>
      </c>
      <c r="C6" s="7">
        <f>$B6 * IFERROR(VLOOKUP("buildings|PM25|Asthma symptoms cough", US_national_yearly!$D:$AM, 11, FALSE) / VLOOKUP("buildings|PM25|Asthma symptoms cough", US_national_yearly!$D:$AM, 10, FALSE), 1)</f>
        <v>1.9468582978803928E-3</v>
      </c>
      <c r="D6" s="7">
        <f>$B6 * IFERROR(VLOOKUP("buildings|PM25|Asthma symptoms cough", US_national_yearly!$D:$AM, 12, FALSE) / VLOOKUP("buildings|PM25|Asthma symptoms cough", US_national_yearly!$D:$AM, 10, FALSE), 1)</f>
        <v>1.9468582978803928E-3</v>
      </c>
      <c r="E6" s="7">
        <f>$B6 * IFERROR(VLOOKUP("buildings|PM25|Asthma symptoms cough", US_national_yearly!$D:$AM, 13, FALSE) / VLOOKUP("buildings|PM25|Asthma symptoms cough", US_national_yearly!$D:$AM, 10, FALSE), 1)</f>
        <v>1.9468582978803928E-3</v>
      </c>
      <c r="F6" s="7">
        <f>$B6 * IFERROR(VLOOKUP("buildings|PM25|Asthma symptoms cough", US_national_yearly!$D:$AM, 14, FALSE) / VLOOKUP("buildings|PM25|Asthma symptoms cough", US_national_yearly!$D:$AM, 10, FALSE), 1)</f>
        <v>1.9468582978803928E-3</v>
      </c>
      <c r="G6" s="7">
        <f>$B6 * IFERROR(VLOOKUP("buildings|PM25|Asthma symptoms cough", US_national_yearly!$D:$AM, 15, FALSE) / VLOOKUP("buildings|PM25|Asthma symptoms cough", US_national_yearly!$D:$AM, 10, FALSE), 1)</f>
        <v>1.9468582978803928E-3</v>
      </c>
      <c r="H6" s="7">
        <f>$B6 * IFERROR(VLOOKUP("buildings|PM25|Asthma symptoms cough", US_national_yearly!$D:$AM, 16, FALSE) / VLOOKUP("buildings|PM25|Asthma symptoms cough", US_national_yearly!$D:$AM, 10, FALSE), 1)</f>
        <v>1.9468582978803928E-3</v>
      </c>
      <c r="I6" s="7">
        <f>$B6 * IFERROR(VLOOKUP("buildings|PM25|Asthma symptoms cough", US_national_yearly!$D:$AM, 17, FALSE) / VLOOKUP("buildings|PM25|Asthma symptoms cough", US_national_yearly!$D:$AM, 10, FALSE), 1)</f>
        <v>1.9468582978803928E-3</v>
      </c>
      <c r="J6" s="7">
        <f>$B6 * IFERROR(VLOOKUP("buildings|PM25|Asthma symptoms cough", US_national_yearly!$D:$AM, 18, FALSE) / VLOOKUP("buildings|PM25|Asthma symptoms cough", US_national_yearly!$D:$AM, 10, FALSE), 1)</f>
        <v>1.9468582978803928E-3</v>
      </c>
      <c r="K6" s="7">
        <f>$B6 * IFERROR(VLOOKUP("buildings|PM25|Asthma symptoms cough", US_national_yearly!$D:$AM, 19, FALSE) / VLOOKUP("buildings|PM25|Asthma symptoms cough", US_national_yearly!$D:$AM, 10, FALSE), 1)</f>
        <v>1.9468582978803928E-3</v>
      </c>
      <c r="L6" s="7">
        <f>$B6 * IFERROR(VLOOKUP("buildings|PM25|Asthma symptoms cough", US_national_yearly!$D:$AM, 20, FALSE) / VLOOKUP("buildings|PM25|Asthma symptoms cough", US_national_yearly!$D:$AM, 10, FALSE), 1)</f>
        <v>1.9468582978803928E-3</v>
      </c>
      <c r="M6" s="7">
        <f>$B6 * IFERROR(VLOOKUP("buildings|PM25|Asthma symptoms cough", US_national_yearly!$D:$AM, 21, FALSE) / VLOOKUP("buildings|PM25|Asthma symptoms cough", US_national_yearly!$D:$AM, 10, FALSE), 1)</f>
        <v>1.9468582978803928E-3</v>
      </c>
      <c r="N6" s="7">
        <f>$B6 * IFERROR(VLOOKUP("buildings|PM25|Asthma symptoms cough", US_national_yearly!$D:$AM, 22, FALSE) / VLOOKUP("buildings|PM25|Asthma symptoms cough", US_national_yearly!$D:$AM, 10, FALSE), 1)</f>
        <v>1.9468582978803928E-3</v>
      </c>
      <c r="O6" s="7">
        <f>$B6 * IFERROR(VLOOKUP("buildings|PM25|Asthma symptoms cough", US_national_yearly!$D:$AM, 23, FALSE) / VLOOKUP("buildings|PM25|Asthma symptoms cough", US_national_yearly!$D:$AM, 10, FALSE), 1)</f>
        <v>1.9468582978803928E-3</v>
      </c>
      <c r="P6" s="7">
        <f>$B6 * IFERROR(VLOOKUP("buildings|PM25|Asthma symptoms cough", US_national_yearly!$D:$AM, 24, FALSE) / VLOOKUP("buildings|PM25|Asthma symptoms cough", US_national_yearly!$D:$AM, 10, FALSE), 1)</f>
        <v>1.9468582978803928E-3</v>
      </c>
      <c r="Q6" s="7">
        <f>$B6 * IFERROR(VLOOKUP("buildings|PM25|Asthma symptoms cough", US_national_yearly!$D:$AM, 25, FALSE) / VLOOKUP("buildings|PM25|Asthma symptoms cough", US_national_yearly!$D:$AM, 10, FALSE), 1)</f>
        <v>1.9468582978803928E-3</v>
      </c>
      <c r="R6" s="7">
        <f>$B6 * IFERROR(VLOOKUP("buildings|PM25|Asthma symptoms cough", US_national_yearly!$D:$AM, 26, FALSE) / VLOOKUP("buildings|PM25|Asthma symptoms cough", US_national_yearly!$D:$AM, 10, FALSE), 1)</f>
        <v>1.9468582978803928E-3</v>
      </c>
      <c r="S6" s="7">
        <f>$B6 * IFERROR(VLOOKUP("buildings|PM25|Asthma symptoms cough", US_national_yearly!$D:$AM, 27, FALSE) / VLOOKUP("buildings|PM25|Asthma symptoms cough", US_national_yearly!$D:$AM, 10, FALSE), 1)</f>
        <v>1.9468582978803928E-3</v>
      </c>
      <c r="T6" s="7">
        <f>$B6 * IFERROR(VLOOKUP("buildings|PM25|Asthma symptoms cough", US_national_yearly!$D:$AM, 28, FALSE) / VLOOKUP("buildings|PM25|Asthma symptoms cough", US_national_yearly!$D:$AM, 10, FALSE), 1)</f>
        <v>1.9468582978803928E-3</v>
      </c>
      <c r="U6" s="7">
        <f>$B6 * IFERROR(VLOOKUP("buildings|PM25|Asthma symptoms cough", US_national_yearly!$D:$AM, 29, FALSE) / VLOOKUP("buildings|PM25|Asthma symptoms cough", US_national_yearly!$D:$AM, 10, FALSE), 1)</f>
        <v>1.9468582978803928E-3</v>
      </c>
      <c r="V6" s="7">
        <f>$B6 * IFERROR(VLOOKUP("buildings|PM25|Asthma symptoms cough", US_national_yearly!$D:$AM, 30, FALSE) / VLOOKUP("buildings|PM25|Asthma symptoms cough", US_national_yearly!$D:$AM, 10, FALSE), 1)</f>
        <v>1.9468582978803928E-3</v>
      </c>
      <c r="W6" s="7">
        <f>$B6 * IFERROR(VLOOKUP("buildings|PM25|Asthma symptoms cough", US_national_yearly!$D:$AM, 31, FALSE) / VLOOKUP("buildings|PM25|Asthma symptoms cough", US_national_yearly!$D:$AM, 10, FALSE), 1)</f>
        <v>1.9468582978803928E-3</v>
      </c>
      <c r="X6" s="7">
        <f>$B6 * IFERROR(VLOOKUP("buildings|PM25|Asthma symptoms cough", US_national_yearly!$D:$AM, 32, FALSE) / VLOOKUP("buildings|PM25|Asthma symptoms cough", US_national_yearly!$D:$AM, 10, FALSE), 1)</f>
        <v>1.9468582978803928E-3</v>
      </c>
      <c r="Y6" s="7">
        <f>$B6 * IFERROR(VLOOKUP("buildings|PM25|Asthma symptoms cough", US_national_yearly!$D:$AM, 33, FALSE) / VLOOKUP("buildings|PM25|Asthma symptoms cough", US_national_yearly!$D:$AM, 10, FALSE), 1)</f>
        <v>1.9468582978803928E-3</v>
      </c>
      <c r="Z6" s="7">
        <f>$B6 * IFERROR(VLOOKUP("buildings|PM25|Asthma symptoms cough", US_national_yearly!$D:$AM, 34, FALSE) / VLOOKUP("buildings|PM25|Asthma symptoms cough", US_national_yearly!$D:$AM, 10, FALSE), 1)</f>
        <v>1.9468582978803928E-3</v>
      </c>
      <c r="AA6" s="7">
        <f>$B6 * IFERROR(VLOOKUP("buildings|PM25|Asthma symptoms cough", US_national_yearly!$D:$AM, 35, FALSE) / VLOOKUP("buildings|PM25|Asthma symptoms cough", US_national_yearly!$D:$AM, 10, FALSE), 1)</f>
        <v>1.9468582978803928E-3</v>
      </c>
      <c r="AB6" s="7">
        <f>$B6 * IFERROR(VLOOKUP("buildings|PM25|Asthma symptoms cough", US_national_yearly!$D:$AM, 36, FALSE) / VLOOKUP("buildings|PM25|Asthma symptoms cough", US_national_yearly!$D:$AM, 10, FALSE), 1)</f>
        <v>1.9468582978803928E-3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2.6217305422479805E-3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2.6217305422479805E-3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2.6217305422479805E-3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2.6217305422479805E-3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2.6217305422479805E-3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2.6217305422479805E-3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2.6217305422479805E-3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2.6217305422479805E-3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2.6217305422479805E-3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2.6217305422479805E-3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2.6217305422479805E-3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2.6217305422479805E-3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2.6217305422479805E-3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2.6217305422479805E-3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2.6217305422479805E-3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2.6217305422479805E-3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2.6217305422479805E-3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2.6217305422479805E-3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2.6217305422479805E-3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2.6217305422479805E-3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2.6217305422479805E-3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2.6217305422479805E-3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2.6217305422479805E-3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2.6217305422479805E-3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2.6217305422479805E-3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2.6217305422479805E-3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2.6217305422479805E-3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4.0055478158856697E-3</v>
      </c>
      <c r="C8" s="7">
        <f>$B8 * IFERROR(VLOOKUP("buildings|PM25|Asthma symptoms wheeze", US_national_yearly!$D:$AM, 11, FALSE) / VLOOKUP("buildings|PM25|Asthma symptoms wheeze", US_national_yearly!$D:$AM, 10, FALSE), 1)</f>
        <v>4.0055478158856697E-3</v>
      </c>
      <c r="D8" s="7">
        <f>$B8 * IFERROR(VLOOKUP("buildings|PM25|Asthma symptoms wheeze", US_national_yearly!$D:$AM, 12, FALSE) / VLOOKUP("buildings|PM25|Asthma symptoms wheeze", US_national_yearly!$D:$AM, 10, FALSE), 1)</f>
        <v>4.0055478158856697E-3</v>
      </c>
      <c r="E8" s="7">
        <f>$B8 * IFERROR(VLOOKUP("buildings|PM25|Asthma symptoms wheeze", US_national_yearly!$D:$AM, 13, FALSE) / VLOOKUP("buildings|PM25|Asthma symptoms wheeze", US_national_yearly!$D:$AM, 10, FALSE), 1)</f>
        <v>4.0055478158856697E-3</v>
      </c>
      <c r="F8" s="7">
        <f>$B8 * IFERROR(VLOOKUP("buildings|PM25|Asthma symptoms wheeze", US_national_yearly!$D:$AM, 14, FALSE) / VLOOKUP("buildings|PM25|Asthma symptoms wheeze", US_national_yearly!$D:$AM, 10, FALSE), 1)</f>
        <v>4.0055478158856697E-3</v>
      </c>
      <c r="G8" s="7">
        <f>$B8 * IFERROR(VLOOKUP("buildings|PM25|Asthma symptoms wheeze", US_national_yearly!$D:$AM, 15, FALSE) / VLOOKUP("buildings|PM25|Asthma symptoms wheeze", US_national_yearly!$D:$AM, 10, FALSE), 1)</f>
        <v>4.0055478158856697E-3</v>
      </c>
      <c r="H8" s="7">
        <f>$B8 * IFERROR(VLOOKUP("buildings|PM25|Asthma symptoms wheeze", US_national_yearly!$D:$AM, 16, FALSE) / VLOOKUP("buildings|PM25|Asthma symptoms wheeze", US_national_yearly!$D:$AM, 10, FALSE), 1)</f>
        <v>4.0055478158856697E-3</v>
      </c>
      <c r="I8" s="7">
        <f>$B8 * IFERROR(VLOOKUP("buildings|PM25|Asthma symptoms wheeze", US_national_yearly!$D:$AM, 17, FALSE) / VLOOKUP("buildings|PM25|Asthma symptoms wheeze", US_national_yearly!$D:$AM, 10, FALSE), 1)</f>
        <v>4.0055478158856697E-3</v>
      </c>
      <c r="J8" s="7">
        <f>$B8 * IFERROR(VLOOKUP("buildings|PM25|Asthma symptoms wheeze", US_national_yearly!$D:$AM, 18, FALSE) / VLOOKUP("buildings|PM25|Asthma symptoms wheeze", US_national_yearly!$D:$AM, 10, FALSE), 1)</f>
        <v>4.0055478158856697E-3</v>
      </c>
      <c r="K8" s="7">
        <f>$B8 * IFERROR(VLOOKUP("buildings|PM25|Asthma symptoms wheeze", US_national_yearly!$D:$AM, 19, FALSE) / VLOOKUP("buildings|PM25|Asthma symptoms wheeze", US_national_yearly!$D:$AM, 10, FALSE), 1)</f>
        <v>4.0055478158856697E-3</v>
      </c>
      <c r="L8" s="7">
        <f>$B8 * IFERROR(VLOOKUP("buildings|PM25|Asthma symptoms wheeze", US_national_yearly!$D:$AM, 20, FALSE) / VLOOKUP("buildings|PM25|Asthma symptoms wheeze", US_national_yearly!$D:$AM, 10, FALSE), 1)</f>
        <v>4.0055478158856697E-3</v>
      </c>
      <c r="M8" s="7">
        <f>$B8 * IFERROR(VLOOKUP("buildings|PM25|Asthma symptoms wheeze", US_national_yearly!$D:$AM, 21, FALSE) / VLOOKUP("buildings|PM25|Asthma symptoms wheeze", US_national_yearly!$D:$AM, 10, FALSE), 1)</f>
        <v>4.0055478158856697E-3</v>
      </c>
      <c r="N8" s="7">
        <f>$B8 * IFERROR(VLOOKUP("buildings|PM25|Asthma symptoms wheeze", US_national_yearly!$D:$AM, 22, FALSE) / VLOOKUP("buildings|PM25|Asthma symptoms wheeze", US_national_yearly!$D:$AM, 10, FALSE), 1)</f>
        <v>4.0055478158856697E-3</v>
      </c>
      <c r="O8" s="7">
        <f>$B8 * IFERROR(VLOOKUP("buildings|PM25|Asthma symptoms wheeze", US_national_yearly!$D:$AM, 23, FALSE) / VLOOKUP("buildings|PM25|Asthma symptoms wheeze", US_national_yearly!$D:$AM, 10, FALSE), 1)</f>
        <v>4.0055478158856697E-3</v>
      </c>
      <c r="P8" s="7">
        <f>$B8 * IFERROR(VLOOKUP("buildings|PM25|Asthma symptoms wheeze", US_national_yearly!$D:$AM, 24, FALSE) / VLOOKUP("buildings|PM25|Asthma symptoms wheeze", US_national_yearly!$D:$AM, 10, FALSE), 1)</f>
        <v>4.0055478158856697E-3</v>
      </c>
      <c r="Q8" s="7">
        <f>$B8 * IFERROR(VLOOKUP("buildings|PM25|Asthma symptoms wheeze", US_national_yearly!$D:$AM, 25, FALSE) / VLOOKUP("buildings|PM25|Asthma symptoms wheeze", US_national_yearly!$D:$AM, 10, FALSE), 1)</f>
        <v>4.0055478158856697E-3</v>
      </c>
      <c r="R8" s="7">
        <f>$B8 * IFERROR(VLOOKUP("buildings|PM25|Asthma symptoms wheeze", US_national_yearly!$D:$AM, 26, FALSE) / VLOOKUP("buildings|PM25|Asthma symptoms wheeze", US_national_yearly!$D:$AM, 10, FALSE), 1)</f>
        <v>4.0055478158856697E-3</v>
      </c>
      <c r="S8" s="7">
        <f>$B8 * IFERROR(VLOOKUP("buildings|PM25|Asthma symptoms wheeze", US_national_yearly!$D:$AM, 27, FALSE) / VLOOKUP("buildings|PM25|Asthma symptoms wheeze", US_national_yearly!$D:$AM, 10, FALSE), 1)</f>
        <v>4.0055478158856697E-3</v>
      </c>
      <c r="T8" s="7">
        <f>$B8 * IFERROR(VLOOKUP("buildings|PM25|Asthma symptoms wheeze", US_national_yearly!$D:$AM, 28, FALSE) / VLOOKUP("buildings|PM25|Asthma symptoms wheeze", US_national_yearly!$D:$AM, 10, FALSE), 1)</f>
        <v>4.0055478158856697E-3</v>
      </c>
      <c r="U8" s="7">
        <f>$B8 * IFERROR(VLOOKUP("buildings|PM25|Asthma symptoms wheeze", US_national_yearly!$D:$AM, 29, FALSE) / VLOOKUP("buildings|PM25|Asthma symptoms wheeze", US_national_yearly!$D:$AM, 10, FALSE), 1)</f>
        <v>4.0055478158856697E-3</v>
      </c>
      <c r="V8" s="7">
        <f>$B8 * IFERROR(VLOOKUP("buildings|PM25|Asthma symptoms wheeze", US_national_yearly!$D:$AM, 30, FALSE) / VLOOKUP("buildings|PM25|Asthma symptoms wheeze", US_national_yearly!$D:$AM, 10, FALSE), 1)</f>
        <v>4.0055478158856697E-3</v>
      </c>
      <c r="W8" s="7">
        <f>$B8 * IFERROR(VLOOKUP("buildings|PM25|Asthma symptoms wheeze", US_national_yearly!$D:$AM, 31, FALSE) / VLOOKUP("buildings|PM25|Asthma symptoms wheeze", US_national_yearly!$D:$AM, 10, FALSE), 1)</f>
        <v>4.0055478158856697E-3</v>
      </c>
      <c r="X8" s="7">
        <f>$B8 * IFERROR(VLOOKUP("buildings|PM25|Asthma symptoms wheeze", US_national_yearly!$D:$AM, 32, FALSE) / VLOOKUP("buildings|PM25|Asthma symptoms wheeze", US_national_yearly!$D:$AM, 10, FALSE), 1)</f>
        <v>4.0055478158856697E-3</v>
      </c>
      <c r="Y8" s="7">
        <f>$B8 * IFERROR(VLOOKUP("buildings|PM25|Asthma symptoms wheeze", US_national_yearly!$D:$AM, 33, FALSE) / VLOOKUP("buildings|PM25|Asthma symptoms wheeze", US_national_yearly!$D:$AM, 10, FALSE), 1)</f>
        <v>4.0055478158856697E-3</v>
      </c>
      <c r="Z8" s="7">
        <f>$B8 * IFERROR(VLOOKUP("buildings|PM25|Asthma symptoms wheeze", US_national_yearly!$D:$AM, 34, FALSE) / VLOOKUP("buildings|PM25|Asthma symptoms wheeze", US_national_yearly!$D:$AM, 10, FALSE), 1)</f>
        <v>4.0055478158856697E-3</v>
      </c>
      <c r="AA8" s="7">
        <f>$B8 * IFERROR(VLOOKUP("buildings|PM25|Asthma symptoms wheeze", US_national_yearly!$D:$AM, 35, FALSE) / VLOOKUP("buildings|PM25|Asthma symptoms wheeze", US_national_yearly!$D:$AM, 10, FALSE), 1)</f>
        <v>4.0055478158856697E-3</v>
      </c>
      <c r="AB8" s="7">
        <f>$B8 * IFERROR(VLOOKUP("buildings|PM25|Asthma symptoms wheeze", US_national_yearly!$D:$AM, 36, FALSE) / VLOOKUP("buildings|PM25|Asthma symptoms wheeze", US_national_yearly!$D:$AM, 10, FALSE), 1)</f>
        <v>4.0055478158856697E-3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4.3189814816657407E-5</v>
      </c>
      <c r="C12" s="7">
        <f>$B12 * IFERROR(VLOOKUP("buildings|PM25|Respiratory hospital admissions", US_national_yearly!$D:$AM, 11, FALSE) / VLOOKUP("buildings|PM25|Respiratory hospital admissions", US_national_yearly!$D:$AM, 10, FALSE), 1)</f>
        <v>4.3438768090314597E-5</v>
      </c>
      <c r="D12" s="7">
        <f>$B12 * IFERROR(VLOOKUP("buildings|PM25|Respiratory hospital admissions", US_national_yearly!$D:$AM, 12, FALSE) / VLOOKUP("buildings|PM25|Respiratory hospital admissions", US_national_yearly!$D:$AM, 10, FALSE), 1)</f>
        <v>4.3687721363971795E-5</v>
      </c>
      <c r="E12" s="7">
        <f>$B12 * IFERROR(VLOOKUP("buildings|PM25|Respiratory hospital admissions", US_national_yearly!$D:$AM, 13, FALSE) / VLOOKUP("buildings|PM25|Respiratory hospital admissions", US_national_yearly!$D:$AM, 10, FALSE), 1)</f>
        <v>4.3936674637628992E-5</v>
      </c>
      <c r="F12" s="7">
        <f>$B12 * IFERROR(VLOOKUP("buildings|PM25|Respiratory hospital admissions", US_national_yearly!$D:$AM, 14, FALSE) / VLOOKUP("buildings|PM25|Respiratory hospital admissions", US_national_yearly!$D:$AM, 10, FALSE), 1)</f>
        <v>4.418562791128619E-5</v>
      </c>
      <c r="G12" s="7">
        <f>$B12 * IFERROR(VLOOKUP("buildings|PM25|Respiratory hospital admissions", US_national_yearly!$D:$AM, 15, FALSE) / VLOOKUP("buildings|PM25|Respiratory hospital admissions", US_national_yearly!$D:$AM, 10, FALSE), 1)</f>
        <v>4.4454271558667519E-5</v>
      </c>
      <c r="H12" s="7">
        <f>$B12 * IFERROR(VLOOKUP("buildings|PM25|Respiratory hospital admissions", US_national_yearly!$D:$AM, 16, FALSE) / VLOOKUP("buildings|PM25|Respiratory hospital admissions", US_national_yearly!$D:$AM, 10, FALSE), 1)</f>
        <v>4.4722915206048855E-5</v>
      </c>
      <c r="I12" s="7">
        <f>$B12 * IFERROR(VLOOKUP("buildings|PM25|Respiratory hospital admissions", US_national_yearly!$D:$AM, 17, FALSE) / VLOOKUP("buildings|PM25|Respiratory hospital admissions", US_national_yearly!$D:$AM, 10, FALSE), 1)</f>
        <v>4.4978419607690772E-5</v>
      </c>
      <c r="J12" s="7">
        <f>$B12 * IFERROR(VLOOKUP("buildings|PM25|Respiratory hospital admissions", US_national_yearly!$D:$AM, 18, FALSE) / VLOOKUP("buildings|PM25|Respiratory hospital admissions", US_national_yearly!$D:$AM, 10, FALSE), 1)</f>
        <v>4.5233924009332683E-5</v>
      </c>
      <c r="K12" s="7">
        <f>$B12 * IFERROR(VLOOKUP("buildings|PM25|Respiratory hospital admissions", US_national_yearly!$D:$AM, 19, FALSE) / VLOOKUP("buildings|PM25|Respiratory hospital admissions", US_national_yearly!$D:$AM, 10, FALSE), 1)</f>
        <v>4.5489428410974594E-5</v>
      </c>
      <c r="L12" s="7">
        <f>$B12 * IFERROR(VLOOKUP("buildings|PM25|Respiratory hospital admissions", US_national_yearly!$D:$AM, 20, FALSE) / VLOOKUP("buildings|PM25|Respiratory hospital admissions", US_national_yearly!$D:$AM, 10, FALSE), 1)</f>
        <v>4.5744932812616512E-5</v>
      </c>
      <c r="M12" s="7">
        <f>$B12 * IFERROR(VLOOKUP("buildings|PM25|Respiratory hospital admissions", US_national_yearly!$D:$AM, 21, FALSE) / VLOOKUP("buildings|PM25|Respiratory hospital admissions", US_national_yearly!$D:$AM, 10, FALSE), 1)</f>
        <v>4.6000437214258416E-5</v>
      </c>
      <c r="N12" s="7">
        <f>$B12 * IFERROR(VLOOKUP("buildings|PM25|Respiratory hospital admissions", US_national_yearly!$D:$AM, 22, FALSE) / VLOOKUP("buildings|PM25|Respiratory hospital admissions", US_national_yearly!$D:$AM, 10, FALSE), 1)</f>
        <v>4.6184214093940456E-5</v>
      </c>
      <c r="O12" s="7">
        <f>$B12 * IFERROR(VLOOKUP("buildings|PM25|Respiratory hospital admissions", US_national_yearly!$D:$AM, 23, FALSE) / VLOOKUP("buildings|PM25|Respiratory hospital admissions", US_national_yearly!$D:$AM, 10, FALSE), 1)</f>
        <v>4.6367990973622495E-5</v>
      </c>
      <c r="P12" s="7">
        <f>$B12 * IFERROR(VLOOKUP("buildings|PM25|Respiratory hospital admissions", US_national_yearly!$D:$AM, 24, FALSE) / VLOOKUP("buildings|PM25|Respiratory hospital admissions", US_national_yearly!$D:$AM, 10, FALSE), 1)</f>
        <v>4.6551767853304528E-5</v>
      </c>
      <c r="Q12" s="7">
        <f>$B12 * IFERROR(VLOOKUP("buildings|PM25|Respiratory hospital admissions", US_national_yearly!$D:$AM, 25, FALSE) / VLOOKUP("buildings|PM25|Respiratory hospital admissions", US_national_yearly!$D:$AM, 10, FALSE), 1)</f>
        <v>4.6735544732986555E-5</v>
      </c>
      <c r="R12" s="7">
        <f>$B12 * IFERROR(VLOOKUP("buildings|PM25|Respiratory hospital admissions", US_national_yearly!$D:$AM, 26, FALSE) / VLOOKUP("buildings|PM25|Respiratory hospital admissions", US_national_yearly!$D:$AM, 10, FALSE), 1)</f>
        <v>4.6919321612668594E-5</v>
      </c>
      <c r="S12" s="7">
        <f>$B12 * IFERROR(VLOOKUP("buildings|PM25|Respiratory hospital admissions", US_national_yearly!$D:$AM, 27, FALSE) / VLOOKUP("buildings|PM25|Respiratory hospital admissions", US_national_yearly!$D:$AM, 10, FALSE), 1)</f>
        <v>4.709441924512653E-5</v>
      </c>
      <c r="T12" s="7">
        <f>$B12 * IFERROR(VLOOKUP("buildings|PM25|Respiratory hospital admissions", US_national_yearly!$D:$AM, 28, FALSE) / VLOOKUP("buildings|PM25|Respiratory hospital admissions", US_national_yearly!$D:$AM, 10, FALSE), 1)</f>
        <v>4.7269516877584486E-5</v>
      </c>
      <c r="U12" s="7">
        <f>$B12 * IFERROR(VLOOKUP("buildings|PM25|Respiratory hospital admissions", US_national_yearly!$D:$AM, 29, FALSE) / VLOOKUP("buildings|PM25|Respiratory hospital admissions", US_national_yearly!$D:$AM, 10, FALSE), 1)</f>
        <v>4.7444614510042429E-5</v>
      </c>
      <c r="V12" s="7">
        <f>$B12 * IFERROR(VLOOKUP("buildings|PM25|Respiratory hospital admissions", US_national_yearly!$D:$AM, 30, FALSE) / VLOOKUP("buildings|PM25|Respiratory hospital admissions", US_national_yearly!$D:$AM, 10, FALSE), 1)</f>
        <v>4.7619712142500365E-5</v>
      </c>
      <c r="W12" s="7">
        <f>$B12 * IFERROR(VLOOKUP("buildings|PM25|Respiratory hospital admissions", US_national_yearly!$D:$AM, 31, FALSE) / VLOOKUP("buildings|PM25|Respiratory hospital admissions", US_national_yearly!$D:$AM, 10, FALSE), 1)</f>
        <v>4.7794809774958321E-5</v>
      </c>
      <c r="X12" s="7">
        <f>$B12 * IFERROR(VLOOKUP("buildings|PM25|Respiratory hospital admissions", US_national_yearly!$D:$AM, 32, FALSE) / VLOOKUP("buildings|PM25|Respiratory hospital admissions", US_national_yearly!$D:$AM, 10, FALSE), 1)</f>
        <v>4.796392633179291E-5</v>
      </c>
      <c r="Y12" s="7">
        <f>$B12 * IFERROR(VLOOKUP("buildings|PM25|Respiratory hospital admissions", US_national_yearly!$D:$AM, 33, FALSE) / VLOOKUP("buildings|PM25|Respiratory hospital admissions", US_national_yearly!$D:$AM, 10, FALSE), 1)</f>
        <v>4.8133042888627513E-5</v>
      </c>
      <c r="Z12" s="7">
        <f>$B12 * IFERROR(VLOOKUP("buildings|PM25|Respiratory hospital admissions", US_national_yearly!$D:$AM, 34, FALSE) / VLOOKUP("buildings|PM25|Respiratory hospital admissions", US_national_yearly!$D:$AM, 10, FALSE), 1)</f>
        <v>4.8302159445462102E-5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4.8471276002296705E-5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4.8640392559131294E-5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2.1808150932797388E-4</v>
      </c>
      <c r="C13" s="7">
        <f>$B13 * IFERROR(VLOOKUP("buildings|PM25|Non-fatal heart attacks", US_national_yearly!$D:$AM, 11, FALSE) / VLOOKUP("buildings|PM25|Non-fatal heart attacks", US_national_yearly!$D:$AM, 10, FALSE), 1)</f>
        <v>2.2442471861822819E-4</v>
      </c>
      <c r="D13" s="7">
        <f>$B13 * IFERROR(VLOOKUP("buildings|PM25|Non-fatal heart attacks", US_national_yearly!$D:$AM, 12, FALSE) / VLOOKUP("buildings|PM25|Non-fatal heart attacks", US_national_yearly!$D:$AM, 10, FALSE), 1)</f>
        <v>2.3076792790848247E-4</v>
      </c>
      <c r="E13" s="7">
        <f>$B13 * IFERROR(VLOOKUP("buildings|PM25|Non-fatal heart attacks", US_national_yearly!$D:$AM, 13, FALSE) / VLOOKUP("buildings|PM25|Non-fatal heart attacks", US_national_yearly!$D:$AM, 10, FALSE), 1)</f>
        <v>2.3711113719873672E-4</v>
      </c>
      <c r="F13" s="7">
        <f>$B13 * IFERROR(VLOOKUP("buildings|PM25|Non-fatal heart attacks", US_national_yearly!$D:$AM, 14, FALSE) / VLOOKUP("buildings|PM25|Non-fatal heart attacks", US_national_yearly!$D:$AM, 10, FALSE), 1)</f>
        <v>2.4345434648899105E-4</v>
      </c>
      <c r="G13" s="7">
        <f>$B13 * IFERROR(VLOOKUP("buildings|PM25|Non-fatal heart attacks", US_national_yearly!$D:$AM, 15, FALSE) / VLOOKUP("buildings|PM25|Non-fatal heart attacks", US_national_yearly!$D:$AM, 10, FALSE), 1)</f>
        <v>2.4943952674781036E-4</v>
      </c>
      <c r="H13" s="7">
        <f>$B13 * IFERROR(VLOOKUP("buildings|PM25|Non-fatal heart attacks", US_national_yearly!$D:$AM, 16, FALSE) / VLOOKUP("buildings|PM25|Non-fatal heart attacks", US_national_yearly!$D:$AM, 10, FALSE), 1)</f>
        <v>2.5542470700662959E-4</v>
      </c>
      <c r="I13" s="7">
        <f>$B13 * IFERROR(VLOOKUP("buildings|PM25|Non-fatal heart attacks", US_national_yearly!$D:$AM, 17, FALSE) / VLOOKUP("buildings|PM25|Non-fatal heart attacks", US_national_yearly!$D:$AM, 10, FALSE), 1)</f>
        <v>2.6024024938686702E-4</v>
      </c>
      <c r="J13" s="7">
        <f>$B13 * IFERROR(VLOOKUP("buildings|PM25|Non-fatal heart attacks", US_national_yearly!$D:$AM, 18, FALSE) / VLOOKUP("buildings|PM25|Non-fatal heart attacks", US_national_yearly!$D:$AM, 10, FALSE), 1)</f>
        <v>2.6505579176710445E-4</v>
      </c>
      <c r="K13" s="7">
        <f>$B13 * IFERROR(VLOOKUP("buildings|PM25|Non-fatal heart attacks", US_national_yearly!$D:$AM, 19, FALSE) / VLOOKUP("buildings|PM25|Non-fatal heart attacks", US_national_yearly!$D:$AM, 10, FALSE), 1)</f>
        <v>2.6987133414734188E-4</v>
      </c>
      <c r="L13" s="7">
        <f>$B13 * IFERROR(VLOOKUP("buildings|PM25|Non-fatal heart attacks", US_national_yearly!$D:$AM, 20, FALSE) / VLOOKUP("buildings|PM25|Non-fatal heart attacks", US_national_yearly!$D:$AM, 10, FALSE), 1)</f>
        <v>2.7468687652757926E-4</v>
      </c>
      <c r="M13" s="7">
        <f>$B13 * IFERROR(VLOOKUP("buildings|PM25|Non-fatal heart attacks", US_national_yearly!$D:$AM, 21, FALSE) / VLOOKUP("buildings|PM25|Non-fatal heart attacks", US_national_yearly!$D:$AM, 10, FALSE), 1)</f>
        <v>2.7950241890781663E-4</v>
      </c>
      <c r="N13" s="7">
        <f>$B13 * IFERROR(VLOOKUP("buildings|PM25|Non-fatal heart attacks", US_national_yearly!$D:$AM, 22, FALSE) / VLOOKUP("buildings|PM25|Non-fatal heart attacks", US_national_yearly!$D:$AM, 10, FALSE), 1)</f>
        <v>2.8261333452001171E-4</v>
      </c>
      <c r="O13" s="7">
        <f>$B13 * IFERROR(VLOOKUP("buildings|PM25|Non-fatal heart attacks", US_national_yearly!$D:$AM, 23, FALSE) / VLOOKUP("buildings|PM25|Non-fatal heart attacks", US_national_yearly!$D:$AM, 10, FALSE), 1)</f>
        <v>2.8572425013220673E-4</v>
      </c>
      <c r="P13" s="7">
        <f>$B13 * IFERROR(VLOOKUP("buildings|PM25|Non-fatal heart attacks", US_national_yearly!$D:$AM, 24, FALSE) / VLOOKUP("buildings|PM25|Non-fatal heart attacks", US_national_yearly!$D:$AM, 10, FALSE), 1)</f>
        <v>2.8883516574440175E-4</v>
      </c>
      <c r="Q13" s="7">
        <f>$B13 * IFERROR(VLOOKUP("buildings|PM25|Non-fatal heart attacks", US_national_yearly!$D:$AM, 25, FALSE) / VLOOKUP("buildings|PM25|Non-fatal heart attacks", US_national_yearly!$D:$AM, 10, FALSE), 1)</f>
        <v>2.9194608135659682E-4</v>
      </c>
      <c r="R13" s="7">
        <f>$B13 * IFERROR(VLOOKUP("buildings|PM25|Non-fatal heart attacks", US_national_yearly!$D:$AM, 26, FALSE) / VLOOKUP("buildings|PM25|Non-fatal heart attacks", US_national_yearly!$D:$AM, 10, FALSE), 1)</f>
        <v>2.9505699696879184E-4</v>
      </c>
      <c r="S13" s="7">
        <f>$B13 * IFERROR(VLOOKUP("buildings|PM25|Non-fatal heart attacks", US_national_yearly!$D:$AM, 27, FALSE) / VLOOKUP("buildings|PM25|Non-fatal heart attacks", US_national_yearly!$D:$AM, 10, FALSE), 1)</f>
        <v>2.9670238992009326E-4</v>
      </c>
      <c r="T13" s="7">
        <f>$B13 * IFERROR(VLOOKUP("buildings|PM25|Non-fatal heart attacks", US_national_yearly!$D:$AM, 28, FALSE) / VLOOKUP("buildings|PM25|Non-fatal heart attacks", US_national_yearly!$D:$AM, 10, FALSE), 1)</f>
        <v>2.9834778287139469E-4</v>
      </c>
      <c r="U13" s="7">
        <f>$B13 * IFERROR(VLOOKUP("buildings|PM25|Non-fatal heart attacks", US_national_yearly!$D:$AM, 29, FALSE) / VLOOKUP("buildings|PM25|Non-fatal heart attacks", US_national_yearly!$D:$AM, 10, FALSE), 1)</f>
        <v>2.9999317582269616E-4</v>
      </c>
      <c r="V13" s="7">
        <f>$B13 * IFERROR(VLOOKUP("buildings|PM25|Non-fatal heart attacks", US_national_yearly!$D:$AM, 30, FALSE) / VLOOKUP("buildings|PM25|Non-fatal heart attacks", US_national_yearly!$D:$AM, 10, FALSE), 1)</f>
        <v>3.0163856877399753E-4</v>
      </c>
      <c r="W13" s="7">
        <f>$B13 * IFERROR(VLOOKUP("buildings|PM25|Non-fatal heart attacks", US_national_yearly!$D:$AM, 31, FALSE) / VLOOKUP("buildings|PM25|Non-fatal heart attacks", US_national_yearly!$D:$AM, 10, FALSE), 1)</f>
        <v>3.0328396172529901E-4</v>
      </c>
      <c r="X13" s="7">
        <f>$B13 * IFERROR(VLOOKUP("buildings|PM25|Non-fatal heart attacks", US_national_yearly!$D:$AM, 32, FALSE) / VLOOKUP("buildings|PM25|Non-fatal heart attacks", US_national_yearly!$D:$AM, 10, FALSE), 1)</f>
        <v>3.0453622593798083E-4</v>
      </c>
      <c r="Y13" s="7">
        <f>$B13 * IFERROR(VLOOKUP("buildings|PM25|Non-fatal heart attacks", US_national_yearly!$D:$AM, 33, FALSE) / VLOOKUP("buildings|PM25|Non-fatal heart attacks", US_national_yearly!$D:$AM, 10, FALSE), 1)</f>
        <v>3.0578849015066266E-4</v>
      </c>
      <c r="Z13" s="7">
        <f>$B13 * IFERROR(VLOOKUP("buildings|PM25|Non-fatal heart attacks", US_national_yearly!$D:$AM, 34, FALSE) / VLOOKUP("buildings|PM25|Non-fatal heart attacks", US_national_yearly!$D:$AM, 10, FALSE), 1)</f>
        <v>3.0704075436334443E-4</v>
      </c>
      <c r="AA13" s="7">
        <f>$B13 * IFERROR(VLOOKUP("buildings|PM25|Non-fatal heart attacks", US_national_yearly!$D:$AM, 35, FALSE) / VLOOKUP("buildings|PM25|Non-fatal heart attacks", US_national_yearly!$D:$AM, 10, FALSE), 1)</f>
        <v>3.0829301857602625E-4</v>
      </c>
      <c r="AB13" s="7">
        <f>$B13 * IFERROR(VLOOKUP("buildings|PM25|Non-fatal heart attacks", US_national_yearly!$D:$AM, 36, FALSE) / VLOOKUP("buildings|PM25|Non-fatal heart attacks", US_national_yearly!$D:$AM, 10, FALSE), 1)</f>
        <v>3.0954528278870813E-4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0.23692441046193974</v>
      </c>
      <c r="C14" s="7">
        <f>$B14 * IFERROR(VLOOKUP("buildings|PM25|Minor restricted activity days", US_national_yearly!$D:$AM, 11, FALSE) / VLOOKUP("buildings|PM25|Minor restricted activity days", US_national_yearly!$D:$AM, 10, FALSE), 1)</f>
        <v>0.23751365475332301</v>
      </c>
      <c r="D14" s="7">
        <f>$B14 * IFERROR(VLOOKUP("buildings|PM25|Minor restricted activity days", US_national_yearly!$D:$AM, 12, FALSE) / VLOOKUP("buildings|PM25|Minor restricted activity days", US_national_yearly!$D:$AM, 10, FALSE), 1)</f>
        <v>0.23810289904470627</v>
      </c>
      <c r="E14" s="7">
        <f>$B14 * IFERROR(VLOOKUP("buildings|PM25|Minor restricted activity days", US_national_yearly!$D:$AM, 13, FALSE) / VLOOKUP("buildings|PM25|Minor restricted activity days", US_national_yearly!$D:$AM, 10, FALSE), 1)</f>
        <v>0.23869214333608954</v>
      </c>
      <c r="F14" s="7">
        <f>$B14 * IFERROR(VLOOKUP("buildings|PM25|Minor restricted activity days", US_national_yearly!$D:$AM, 14, FALSE) / VLOOKUP("buildings|PM25|Minor restricted activity days", US_national_yearly!$D:$AM, 10, FALSE), 1)</f>
        <v>0.23928138762747275</v>
      </c>
      <c r="G14" s="7">
        <f>$B14 * IFERROR(VLOOKUP("buildings|PM25|Minor restricted activity days", US_national_yearly!$D:$AM, 15, FALSE) / VLOOKUP("buildings|PM25|Minor restricted activity days", US_national_yearly!$D:$AM, 10, FALSE), 1)</f>
        <v>0.24014563009557205</v>
      </c>
      <c r="H14" s="7">
        <f>$B14 * IFERROR(VLOOKUP("buildings|PM25|Minor restricted activity days", US_national_yearly!$D:$AM, 16, FALSE) / VLOOKUP("buildings|PM25|Minor restricted activity days", US_national_yearly!$D:$AM, 10, FALSE), 1)</f>
        <v>0.24100987256367123</v>
      </c>
      <c r="I14" s="7">
        <f>$B14 * IFERROR(VLOOKUP("buildings|PM25|Minor restricted activity days", US_national_yearly!$D:$AM, 17, FALSE) / VLOOKUP("buildings|PM25|Minor restricted activity days", US_national_yearly!$D:$AM, 10, FALSE), 1)</f>
        <v>0.24247947271889289</v>
      </c>
      <c r="J14" s="7">
        <f>$B14 * IFERROR(VLOOKUP("buildings|PM25|Minor restricted activity days", US_national_yearly!$D:$AM, 18, FALSE) / VLOOKUP("buildings|PM25|Minor restricted activity days", US_national_yearly!$D:$AM, 10, FALSE), 1)</f>
        <v>0.24394907287411463</v>
      </c>
      <c r="K14" s="7">
        <f>$B14 * IFERROR(VLOOKUP("buildings|PM25|Minor restricted activity days", US_national_yearly!$D:$AM, 19, FALSE) / VLOOKUP("buildings|PM25|Minor restricted activity days", US_national_yearly!$D:$AM, 10, FALSE), 1)</f>
        <v>0.2454186730293362</v>
      </c>
      <c r="L14" s="7">
        <f>$B14 * IFERROR(VLOOKUP("buildings|PM25|Minor restricted activity days", US_national_yearly!$D:$AM, 20, FALSE) / VLOOKUP("buildings|PM25|Minor restricted activity days", US_national_yearly!$D:$AM, 10, FALSE), 1)</f>
        <v>0.2468882731845578</v>
      </c>
      <c r="M14" s="7">
        <f>$B14 * IFERROR(VLOOKUP("buildings|PM25|Minor restricted activity days", US_national_yearly!$D:$AM, 21, FALSE) / VLOOKUP("buildings|PM25|Minor restricted activity days", US_national_yearly!$D:$AM, 10, FALSE), 1)</f>
        <v>0.24835787333977941</v>
      </c>
      <c r="N14" s="7">
        <f>$B14 * IFERROR(VLOOKUP("buildings|PM25|Minor restricted activity days", US_national_yearly!$D:$AM, 22, FALSE) / VLOOKUP("buildings|PM25|Minor restricted activity days", US_national_yearly!$D:$AM, 10, FALSE), 1)</f>
        <v>0.25035470538956189</v>
      </c>
      <c r="O14" s="7">
        <f>$B14 * IFERROR(VLOOKUP("buildings|PM25|Minor restricted activity days", US_national_yearly!$D:$AM, 23, FALSE) / VLOOKUP("buildings|PM25|Minor restricted activity days", US_national_yearly!$D:$AM, 10, FALSE), 1)</f>
        <v>0.2523515374393443</v>
      </c>
      <c r="P14" s="7">
        <f>$B14 * IFERROR(VLOOKUP("buildings|PM25|Minor restricted activity days", US_national_yearly!$D:$AM, 24, FALSE) / VLOOKUP("buildings|PM25|Minor restricted activity days", US_national_yearly!$D:$AM, 10, FALSE), 1)</f>
        <v>0.25434836948912676</v>
      </c>
      <c r="Q14" s="7">
        <f>$B14 * IFERROR(VLOOKUP("buildings|PM25|Minor restricted activity days", US_national_yearly!$D:$AM, 25, FALSE) / VLOOKUP("buildings|PM25|Minor restricted activity days", US_national_yearly!$D:$AM, 10, FALSE), 1)</f>
        <v>0.25634520153890916</v>
      </c>
      <c r="R14" s="7">
        <f>$B14 * IFERROR(VLOOKUP("buildings|PM25|Minor restricted activity days", US_national_yearly!$D:$AM, 26, FALSE) / VLOOKUP("buildings|PM25|Minor restricted activity days", US_national_yearly!$D:$AM, 10, FALSE), 1)</f>
        <v>0.25834203358869157</v>
      </c>
      <c r="S14" s="7">
        <f>$B14 * IFERROR(VLOOKUP("buildings|PM25|Minor restricted activity days", US_national_yearly!$D:$AM, 27, FALSE) / VLOOKUP("buildings|PM25|Minor restricted activity days", US_national_yearly!$D:$AM, 10, FALSE), 1)</f>
        <v>0.26035124011470556</v>
      </c>
      <c r="T14" s="7">
        <f>$B14 * IFERROR(VLOOKUP("buildings|PM25|Minor restricted activity days", US_national_yearly!$D:$AM, 28, FALSE) / VLOOKUP("buildings|PM25|Minor restricted activity days", US_national_yearly!$D:$AM, 10, FALSE), 1)</f>
        <v>0.26236044664071945</v>
      </c>
      <c r="U14" s="7">
        <f>$B14 * IFERROR(VLOOKUP("buildings|PM25|Minor restricted activity days", US_national_yearly!$D:$AM, 29, FALSE) / VLOOKUP("buildings|PM25|Minor restricted activity days", US_national_yearly!$D:$AM, 10, FALSE), 1)</f>
        <v>0.26436965316673344</v>
      </c>
      <c r="V14" s="7">
        <f>$B14 * IFERROR(VLOOKUP("buildings|PM25|Minor restricted activity days", US_national_yearly!$D:$AM, 30, FALSE) / VLOOKUP("buildings|PM25|Minor restricted activity days", US_national_yearly!$D:$AM, 10, FALSE), 1)</f>
        <v>0.26637885969274733</v>
      </c>
      <c r="W14" s="7">
        <f>$B14 * IFERROR(VLOOKUP("buildings|PM25|Minor restricted activity days", US_national_yearly!$D:$AM, 31, FALSE) / VLOOKUP("buildings|PM25|Minor restricted activity days", US_national_yearly!$D:$AM, 10, FALSE), 1)</f>
        <v>0.26838806621876127</v>
      </c>
      <c r="X14" s="7">
        <f>$B14 * IFERROR(VLOOKUP("buildings|PM25|Minor restricted activity days", US_national_yearly!$D:$AM, 32, FALSE) / VLOOKUP("buildings|PM25|Minor restricted activity days", US_national_yearly!$D:$AM, 10, FALSE), 1)</f>
        <v>0.27013267147748543</v>
      </c>
      <c r="Y14" s="7">
        <f>$B14 * IFERROR(VLOOKUP("buildings|PM25|Minor restricted activity days", US_national_yearly!$D:$AM, 33, FALSE) / VLOOKUP("buildings|PM25|Minor restricted activity days", US_national_yearly!$D:$AM, 10, FALSE), 1)</f>
        <v>0.27187727673620954</v>
      </c>
      <c r="Z14" s="7">
        <f>$B14 * IFERROR(VLOOKUP("buildings|PM25|Minor restricted activity days", US_national_yearly!$D:$AM, 34, FALSE) / VLOOKUP("buildings|PM25|Minor restricted activity days", US_national_yearly!$D:$AM, 10, FALSE), 1)</f>
        <v>0.27362188199493359</v>
      </c>
      <c r="AA14" s="7">
        <f>$B14 * IFERROR(VLOOKUP("buildings|PM25|Minor restricted activity days", US_national_yearly!$D:$AM, 35, FALSE) / VLOOKUP("buildings|PM25|Minor restricted activity days", US_national_yearly!$D:$AM, 10, FALSE), 1)</f>
        <v>0.2753664872536577</v>
      </c>
      <c r="AB14" s="7">
        <f>$B14 * IFERROR(VLOOKUP("buildings|PM25|Minor restricted activity days", US_national_yearly!$D:$AM, 36, FALSE) / VLOOKUP("buildings|PM25|Minor restricted activity days", US_national_yearly!$D:$AM, 10, FALSE), 1)</f>
        <v>0.27711109251238181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4.0309246655201532E-2</v>
      </c>
      <c r="C15" s="7">
        <f>$B15 * IFERROR(VLOOKUP("buildings|PM25|Work loss days", US_national_yearly!$D:$AM, 11, FALSE) / VLOOKUP("buildings|PM25|Work loss days", US_national_yearly!$D:$AM, 10, FALSE), 1)</f>
        <v>4.0435745764302478E-2</v>
      </c>
      <c r="D15" s="7">
        <f>$B15 * IFERROR(VLOOKUP("buildings|PM25|Work loss days", US_national_yearly!$D:$AM, 12, FALSE) / VLOOKUP("buildings|PM25|Work loss days", US_national_yearly!$D:$AM, 10, FALSE), 1)</f>
        <v>4.0562244873403409E-2</v>
      </c>
      <c r="E15" s="7">
        <f>$B15 * IFERROR(VLOOKUP("buildings|PM25|Work loss days", US_national_yearly!$D:$AM, 13, FALSE) / VLOOKUP("buildings|PM25|Work loss days", US_national_yearly!$D:$AM, 10, FALSE), 1)</f>
        <v>4.0688743982504341E-2</v>
      </c>
      <c r="F15" s="7">
        <f>$B15 * IFERROR(VLOOKUP("buildings|PM25|Work loss days", US_national_yearly!$D:$AM, 14, FALSE) / VLOOKUP("buildings|PM25|Work loss days", US_national_yearly!$D:$AM, 10, FALSE), 1)</f>
        <v>4.0815243091605273E-2</v>
      </c>
      <c r="G15" s="7">
        <f>$B15 * IFERROR(VLOOKUP("buildings|PM25|Work loss days", US_national_yearly!$D:$AM, 15, FALSE) / VLOOKUP("buildings|PM25|Work loss days", US_national_yearly!$D:$AM, 10, FALSE), 1)</f>
        <v>4.0980588763308769E-2</v>
      </c>
      <c r="H15" s="7">
        <f>$B15 * IFERROR(VLOOKUP("buildings|PM25|Work loss days", US_national_yearly!$D:$AM, 16, FALSE) / VLOOKUP("buildings|PM25|Work loss days", US_national_yearly!$D:$AM, 10, FALSE), 1)</f>
        <v>4.1145934435012257E-2</v>
      </c>
      <c r="I15" s="7">
        <f>$B15 * IFERROR(VLOOKUP("buildings|PM25|Work loss days", US_national_yearly!$D:$AM, 17, FALSE) / VLOOKUP("buildings|PM25|Work loss days", US_national_yearly!$D:$AM, 10, FALSE), 1)</f>
        <v>4.1388772051759844E-2</v>
      </c>
      <c r="J15" s="7">
        <f>$B15 * IFERROR(VLOOKUP("buildings|PM25|Work loss days", US_national_yearly!$D:$AM, 18, FALSE) / VLOOKUP("buildings|PM25|Work loss days", US_national_yearly!$D:$AM, 10, FALSE), 1)</f>
        <v>4.163160966850743E-2</v>
      </c>
      <c r="K15" s="7">
        <f>$B15 * IFERROR(VLOOKUP("buildings|PM25|Work loss days", US_national_yearly!$D:$AM, 19, FALSE) / VLOOKUP("buildings|PM25|Work loss days", US_national_yearly!$D:$AM, 10, FALSE), 1)</f>
        <v>4.1874447285255009E-2</v>
      </c>
      <c r="L15" s="7">
        <f>$B15 * IFERROR(VLOOKUP("buildings|PM25|Work loss days", US_national_yearly!$D:$AM, 20, FALSE) / VLOOKUP("buildings|PM25|Work loss days", US_national_yearly!$D:$AM, 10, FALSE), 1)</f>
        <v>4.2117284902002596E-2</v>
      </c>
      <c r="M15" s="7">
        <f>$B15 * IFERROR(VLOOKUP("buildings|PM25|Work loss days", US_national_yearly!$D:$AM, 21, FALSE) / VLOOKUP("buildings|PM25|Work loss days", US_national_yearly!$D:$AM, 10, FALSE), 1)</f>
        <v>4.2360122518750189E-2</v>
      </c>
      <c r="N15" s="7">
        <f>$B15 * IFERROR(VLOOKUP("buildings|PM25|Work loss days", US_national_yearly!$D:$AM, 22, FALSE) / VLOOKUP("buildings|PM25|Work loss days", US_national_yearly!$D:$AM, 10, FALSE), 1)</f>
        <v>4.2665433859010699E-2</v>
      </c>
      <c r="O15" s="7">
        <f>$B15 * IFERROR(VLOOKUP("buildings|PM25|Work loss days", US_national_yearly!$D:$AM, 23, FALSE) / VLOOKUP("buildings|PM25|Work loss days", US_national_yearly!$D:$AM, 10, FALSE), 1)</f>
        <v>4.2970745199271215E-2</v>
      </c>
      <c r="P15" s="7">
        <f>$B15 * IFERROR(VLOOKUP("buildings|PM25|Work loss days", US_national_yearly!$D:$AM, 24, FALSE) / VLOOKUP("buildings|PM25|Work loss days", US_national_yearly!$D:$AM, 10, FALSE), 1)</f>
        <v>4.3276056539531718E-2</v>
      </c>
      <c r="Q15" s="7">
        <f>$B15 * IFERROR(VLOOKUP("buildings|PM25|Work loss days", US_national_yearly!$D:$AM, 25, FALSE) / VLOOKUP("buildings|PM25|Work loss days", US_national_yearly!$D:$AM, 10, FALSE), 1)</f>
        <v>4.3581367879792228E-2</v>
      </c>
      <c r="R15" s="7">
        <f>$B15 * IFERROR(VLOOKUP("buildings|PM25|Work loss days", US_national_yearly!$D:$AM, 26, FALSE) / VLOOKUP("buildings|PM25|Work loss days", US_national_yearly!$D:$AM, 10, FALSE), 1)</f>
        <v>4.3886679220052745E-2</v>
      </c>
      <c r="S15" s="7">
        <f>$B15 * IFERROR(VLOOKUP("buildings|PM25|Work loss days", US_national_yearly!$D:$AM, 27, FALSE) / VLOOKUP("buildings|PM25|Work loss days", US_national_yearly!$D:$AM, 10, FALSE), 1)</f>
        <v>4.4223933540505016E-2</v>
      </c>
      <c r="T15" s="7">
        <f>$B15 * IFERROR(VLOOKUP("buildings|PM25|Work loss days", US_national_yearly!$D:$AM, 28, FALSE) / VLOOKUP("buildings|PM25|Work loss days", US_national_yearly!$D:$AM, 10, FALSE), 1)</f>
        <v>4.4561187860957301E-2</v>
      </c>
      <c r="U15" s="7">
        <f>$B15 * IFERROR(VLOOKUP("buildings|PM25|Work loss days", US_national_yearly!$D:$AM, 29, FALSE) / VLOOKUP("buildings|PM25|Work loss days", US_national_yearly!$D:$AM, 10, FALSE), 1)</f>
        <v>4.4898442181409579E-2</v>
      </c>
      <c r="V15" s="7">
        <f>$B15 * IFERROR(VLOOKUP("buildings|PM25|Work loss days", US_national_yearly!$D:$AM, 30, FALSE) / VLOOKUP("buildings|PM25|Work loss days", US_national_yearly!$D:$AM, 10, FALSE), 1)</f>
        <v>4.5235696501861856E-2</v>
      </c>
      <c r="W15" s="7">
        <f>$B15 * IFERROR(VLOOKUP("buildings|PM25|Work loss days", US_national_yearly!$D:$AM, 31, FALSE) / VLOOKUP("buildings|PM25|Work loss days", US_national_yearly!$D:$AM, 10, FALSE), 1)</f>
        <v>4.5572950822314134E-2</v>
      </c>
      <c r="X15" s="7">
        <f>$B15 * IFERROR(VLOOKUP("buildings|PM25|Work loss days", US_national_yearly!$D:$AM, 32, FALSE) / VLOOKUP("buildings|PM25|Work loss days", US_national_yearly!$D:$AM, 10, FALSE), 1)</f>
        <v>4.5872231888205051E-2</v>
      </c>
      <c r="Y15" s="7">
        <f>$B15 * IFERROR(VLOOKUP("buildings|PM25|Work loss days", US_national_yearly!$D:$AM, 33, FALSE) / VLOOKUP("buildings|PM25|Work loss days", US_national_yearly!$D:$AM, 10, FALSE), 1)</f>
        <v>4.6171512954095974E-2</v>
      </c>
      <c r="Z15" s="7">
        <f>$B15 * IFERROR(VLOOKUP("buildings|PM25|Work loss days", US_national_yearly!$D:$AM, 34, FALSE) / VLOOKUP("buildings|PM25|Work loss days", US_national_yearly!$D:$AM, 10, FALSE), 1)</f>
        <v>4.647079401998689E-2</v>
      </c>
      <c r="AA15" s="7">
        <f>$B15 * IFERROR(VLOOKUP("buildings|PM25|Work loss days", US_national_yearly!$D:$AM, 35, FALSE) / VLOOKUP("buildings|PM25|Work loss days", US_national_yearly!$D:$AM, 10, FALSE), 1)</f>
        <v>4.6770075085877813E-2</v>
      </c>
      <c r="AB15" s="7">
        <f>$B15 * IFERROR(VLOOKUP("buildings|PM25|Work loss days", US_national_yearly!$D:$AM, 36, FALSE) / VLOOKUP("buildings|PM25|Work loss days", US_national_yearly!$D:$AM, 10, FALSE), 1)</f>
        <v>4.7069356151768729E-2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5.06599765180595E-5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5.2174018140316877E-5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5.3688059762574248E-5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5.5202101384831612E-5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5.671614300708899E-5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5.8166824063604144E-5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5.9617505120119291E-5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6.0859421578916316E-5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6.2101338037713334E-5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6.3343254496510366E-5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6.4585170955307398E-5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6.582708741410443E-5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6.6656378122390637E-5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6.7485668830676859E-5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6.8314959538963067E-5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6.9144250247249288E-5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6.9973540955535496E-5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7.0414198207024355E-5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7.0854855458513187E-5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7.1295512710002046E-5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7.1736169961490891E-5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7.217682721297975E-5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7.2474780475833265E-5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7.277273373868678E-5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7.3070687001540295E-5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7.3368640264393796E-5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7.3666593527247311E-5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8.085869130078241E-5</v>
      </c>
      <c r="C2" s="7">
        <f>$B2 * IFERROR(VLOOKUP("buildings|NOx|Premature mortality", US_national_yearly!$D:$AM, 11, FALSE) / VLOOKUP("buildings|NOx|Premature mortality", US_national_yearly!$D:$AM, 10, FALSE), 1)</f>
        <v>8.204801623474388E-5</v>
      </c>
      <c r="D2" s="7">
        <f>$B2 * IFERROR(VLOOKUP("buildings|NOx|Premature mortality", US_national_yearly!$D:$AM, 12, FALSE) / VLOOKUP("buildings|NOx|Premature mortality", US_national_yearly!$D:$AM, 10, FALSE), 1)</f>
        <v>8.3237341168705323E-5</v>
      </c>
      <c r="E2" s="7">
        <f>$B2 * IFERROR(VLOOKUP("buildings|NOx|Premature mortality", US_national_yearly!$D:$AM, 13, FALSE) / VLOOKUP("buildings|NOx|Premature mortality", US_national_yearly!$D:$AM, 10, FALSE), 1)</f>
        <v>8.4426666102666793E-5</v>
      </c>
      <c r="F2" s="7">
        <f>$B2 * IFERROR(VLOOKUP("buildings|NOx|Premature mortality", US_national_yearly!$D:$AM, 14, FALSE) / VLOOKUP("buildings|NOx|Premature mortality", US_national_yearly!$D:$AM, 10, FALSE), 1)</f>
        <v>8.5615991036628249E-5</v>
      </c>
      <c r="G2" s="7">
        <f>$B2 * IFERROR(VLOOKUP("buildings|NOx|Premature mortality", US_national_yearly!$D:$AM, 15, FALSE) / VLOOKUP("buildings|NOx|Premature mortality", US_national_yearly!$D:$AM, 10, FALSE), 1)</f>
        <v>8.7751260269140896E-5</v>
      </c>
      <c r="H2" s="7">
        <f>$B2 * IFERROR(VLOOKUP("buildings|NOx|Premature mortality", US_national_yearly!$D:$AM, 16, FALSE) / VLOOKUP("buildings|NOx|Premature mortality", US_national_yearly!$D:$AM, 10, FALSE), 1)</f>
        <v>8.9886529501653555E-5</v>
      </c>
      <c r="I2" s="7">
        <f>$B2 * IFERROR(VLOOKUP("buildings|NOx|Premature mortality", US_national_yearly!$D:$AM, 17, FALSE) / VLOOKUP("buildings|NOx|Premature mortality", US_national_yearly!$D:$AM, 10, FALSE), 1)</f>
        <v>9.1266455502089392E-5</v>
      </c>
      <c r="J2" s="7">
        <f>$B2 * IFERROR(VLOOKUP("buildings|NOx|Premature mortality", US_national_yearly!$D:$AM, 18, FALSE) / VLOOKUP("buildings|NOx|Premature mortality", US_national_yearly!$D:$AM, 10, FALSE), 1)</f>
        <v>9.2646381502525202E-5</v>
      </c>
      <c r="K2" s="7">
        <f>$B2 * IFERROR(VLOOKUP("buildings|NOx|Premature mortality", US_national_yearly!$D:$AM, 19, FALSE) / VLOOKUP("buildings|NOx|Premature mortality", US_national_yearly!$D:$AM, 10, FALSE), 1)</f>
        <v>9.4026307502961039E-5</v>
      </c>
      <c r="L2" s="7">
        <f>$B2 * IFERROR(VLOOKUP("buildings|NOx|Premature mortality", US_national_yearly!$D:$AM, 20, FALSE) / VLOOKUP("buildings|NOx|Premature mortality", US_national_yearly!$D:$AM, 10, FALSE), 1)</f>
        <v>9.5406233503396863E-5</v>
      </c>
      <c r="M2" s="7">
        <f>$B2 * IFERROR(VLOOKUP("buildings|NOx|Premature mortality", US_national_yearly!$D:$AM, 21, FALSE) / VLOOKUP("buildings|NOx|Premature mortality", US_national_yearly!$D:$AM, 10, FALSE), 1)</f>
        <v>9.67861595038327E-5</v>
      </c>
      <c r="N2" s="7">
        <f>$B2 * IFERROR(VLOOKUP("buildings|NOx|Premature mortality", US_national_yearly!$D:$AM, 22, FALSE) / VLOOKUP("buildings|NOx|Premature mortality", US_national_yearly!$D:$AM, 10, FALSE), 1)</f>
        <v>9.7808631994114603E-5</v>
      </c>
      <c r="O2" s="7">
        <f>$B2 * IFERROR(VLOOKUP("buildings|NOx|Premature mortality", US_national_yearly!$D:$AM, 23, FALSE) / VLOOKUP("buildings|NOx|Premature mortality", US_national_yearly!$D:$AM, 10, FALSE), 1)</f>
        <v>9.8831104484396534E-5</v>
      </c>
      <c r="P2" s="7">
        <f>$B2 * IFERROR(VLOOKUP("buildings|NOx|Premature mortality", US_national_yearly!$D:$AM, 24, FALSE) / VLOOKUP("buildings|NOx|Premature mortality", US_national_yearly!$D:$AM, 10, FALSE), 1)</f>
        <v>9.9853576974678451E-5</v>
      </c>
      <c r="Q2" s="7">
        <f>$B2 * IFERROR(VLOOKUP("buildings|NOx|Premature mortality", US_national_yearly!$D:$AM, 25, FALSE) / VLOOKUP("buildings|NOx|Premature mortality", US_national_yearly!$D:$AM, 10, FALSE), 1)</f>
        <v>1.0087604946496037E-4</v>
      </c>
      <c r="R2" s="7">
        <f>$B2 * IFERROR(VLOOKUP("buildings|NOx|Premature mortality", US_national_yearly!$D:$AM, 26, FALSE) / VLOOKUP("buildings|NOx|Premature mortality", US_national_yearly!$D:$AM, 10, FALSE), 1)</f>
        <v>1.0189852195524228E-4</v>
      </c>
      <c r="S2" s="7">
        <f>$B2 * IFERROR(VLOOKUP("buildings|NOx|Premature mortality", US_national_yearly!$D:$AM, 27, FALSE) / VLOOKUP("buildings|NOx|Premature mortality", US_national_yearly!$D:$AM, 10, FALSE), 1)</f>
        <v>1.0236337826100287E-4</v>
      </c>
      <c r="T2" s="7">
        <f>$B2 * IFERROR(VLOOKUP("buildings|NOx|Premature mortality", US_national_yearly!$D:$AM, 28, FALSE) / VLOOKUP("buildings|NOx|Premature mortality", US_national_yearly!$D:$AM, 10, FALSE), 1)</f>
        <v>1.0282823456676343E-4</v>
      </c>
      <c r="U2" s="7">
        <f>$B2 * IFERROR(VLOOKUP("buildings|NOx|Premature mortality", US_national_yearly!$D:$AM, 29, FALSE) / VLOOKUP("buildings|NOx|Premature mortality", US_national_yearly!$D:$AM, 10, FALSE), 1)</f>
        <v>1.0329309087252401E-4</v>
      </c>
      <c r="V2" s="7">
        <f>$B2 * IFERROR(VLOOKUP("buildings|NOx|Premature mortality", US_national_yearly!$D:$AM, 30, FALSE) / VLOOKUP("buildings|NOx|Premature mortality", US_national_yearly!$D:$AM, 10, FALSE), 1)</f>
        <v>1.0375794717828459E-4</v>
      </c>
      <c r="W2" s="7">
        <f>$B2 * IFERROR(VLOOKUP("buildings|NOx|Premature mortality", US_national_yearly!$D:$AM, 31, FALSE) / VLOOKUP("buildings|NOx|Premature mortality", US_national_yearly!$D:$AM, 10, FALSE), 1)</f>
        <v>1.0422280348404516E-4</v>
      </c>
      <c r="X2" s="7">
        <f>$B2 * IFERROR(VLOOKUP("buildings|NOx|Premature mortality", US_national_yearly!$D:$AM, 32, FALSE) / VLOOKUP("buildings|NOx|Premature mortality", US_national_yearly!$D:$AM, 10, FALSE), 1)</f>
        <v>1.0423917534419778E-4</v>
      </c>
      <c r="Y2" s="7">
        <f>$B2 * IFERROR(VLOOKUP("buildings|NOx|Premature mortality", US_national_yearly!$D:$AM, 33, FALSE) / VLOOKUP("buildings|NOx|Premature mortality", US_national_yearly!$D:$AM, 10, FALSE), 1)</f>
        <v>1.0425554720435041E-4</v>
      </c>
      <c r="Z2" s="7">
        <f>$B2 * IFERROR(VLOOKUP("buildings|NOx|Premature mortality", US_national_yearly!$D:$AM, 34, FALSE) / VLOOKUP("buildings|NOx|Premature mortality", US_national_yearly!$D:$AM, 10, FALSE), 1)</f>
        <v>1.0427191906450304E-4</v>
      </c>
      <c r="AA2" s="7">
        <f>$B2 * IFERROR(VLOOKUP("buildings|NOx|Premature mortality", US_national_yearly!$D:$AM, 35, FALSE) / VLOOKUP("buildings|NOx|Premature mortality", US_national_yearly!$D:$AM, 10, FALSE), 1)</f>
        <v>1.0428829092465565E-4</v>
      </c>
      <c r="AB2" s="7">
        <f>$B2 * IFERROR(VLOOKUP("buildings|NOx|Premature mortality", US_national_yearly!$D:$AM, 36, FALSE) / VLOOKUP("buildings|NOx|Premature mortality", US_national_yearly!$D:$AM, 10, FALSE), 1)</f>
        <v>1.0430466278480829E-4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1.8389305098631607E-7</v>
      </c>
      <c r="C3" s="7">
        <f>$B3 * IFERROR(VLOOKUP("buildings|NOx|Infant mortality", US_national_yearly!$D:$AM, 11, FALSE) / VLOOKUP("buildings|NOx|Infant mortality", US_national_yearly!$D:$AM, 10, FALSE), 1)</f>
        <v>1.8214628282555432E-7</v>
      </c>
      <c r="D3" s="7">
        <f>$B3 * IFERROR(VLOOKUP("buildings|NOx|Infant mortality", US_national_yearly!$D:$AM, 12, FALSE) / VLOOKUP("buildings|NOx|Infant mortality", US_national_yearly!$D:$AM, 10, FALSE), 1)</f>
        <v>1.8039951466479252E-7</v>
      </c>
      <c r="E3" s="7">
        <f>$B3 * IFERROR(VLOOKUP("buildings|NOx|Infant mortality", US_national_yearly!$D:$AM, 13, FALSE) / VLOOKUP("buildings|NOx|Infant mortality", US_national_yearly!$D:$AM, 10, FALSE), 1)</f>
        <v>1.7865274650403078E-7</v>
      </c>
      <c r="F3" s="7">
        <f>$B3 * IFERROR(VLOOKUP("buildings|NOx|Infant mortality", US_national_yearly!$D:$AM, 14, FALSE) / VLOOKUP("buildings|NOx|Infant mortality", US_national_yearly!$D:$AM, 10, FALSE), 1)</f>
        <v>1.76905978343269E-7</v>
      </c>
      <c r="G3" s="7">
        <f>$B3 * IFERROR(VLOOKUP("buildings|NOx|Infant mortality", US_national_yearly!$D:$AM, 15, FALSE) / VLOOKUP("buildings|NOx|Infant mortality", US_national_yearly!$D:$AM, 10, FALSE), 1)</f>
        <v>1.174191224403591E-7</v>
      </c>
      <c r="H3" s="7">
        <f>$B3 * IFERROR(VLOOKUP("buildings|NOx|Infant mortality", US_national_yearly!$D:$AM, 16, FALSE) / VLOOKUP("buildings|NOx|Infant mortality", US_national_yearly!$D:$AM, 10, FALSE), 1)</f>
        <v>5.7932266537449192E-8</v>
      </c>
      <c r="I3" s="7">
        <f>$B3 * IFERROR(VLOOKUP("buildings|NOx|Infant mortality", US_national_yearly!$D:$AM, 17, FALSE) / VLOOKUP("buildings|NOx|Infant mortality", US_national_yearly!$D:$AM, 10, FALSE), 1)</f>
        <v>5.7523000658611803E-8</v>
      </c>
      <c r="J3" s="7">
        <f>$B3 * IFERROR(VLOOKUP("buildings|NOx|Infant mortality", US_national_yearly!$D:$AM, 18, FALSE) / VLOOKUP("buildings|NOx|Infant mortality", US_national_yearly!$D:$AM, 10, FALSE), 1)</f>
        <v>5.7113734779774401E-8</v>
      </c>
      <c r="K3" s="7">
        <f>$B3 * IFERROR(VLOOKUP("buildings|NOx|Infant mortality", US_national_yearly!$D:$AM, 19, FALSE) / VLOOKUP("buildings|NOx|Infant mortality", US_national_yearly!$D:$AM, 10, FALSE), 1)</f>
        <v>5.6704468900937005E-8</v>
      </c>
      <c r="L3" s="7">
        <f>$B3 * IFERROR(VLOOKUP("buildings|NOx|Infant mortality", US_national_yearly!$D:$AM, 20, FALSE) / VLOOKUP("buildings|NOx|Infant mortality", US_national_yearly!$D:$AM, 10, FALSE), 1)</f>
        <v>5.629520302209961E-8</v>
      </c>
      <c r="M3" s="7">
        <f>$B3 * IFERROR(VLOOKUP("buildings|NOx|Infant mortality", US_national_yearly!$D:$AM, 21, FALSE) / VLOOKUP("buildings|NOx|Infant mortality", US_national_yearly!$D:$AM, 10, FALSE), 1)</f>
        <v>5.5885937143262208E-8</v>
      </c>
      <c r="N3" s="7">
        <f>$B3 * IFERROR(VLOOKUP("buildings|NOx|Infant mortality", US_national_yearly!$D:$AM, 22, FALSE) / VLOOKUP("buildings|NOx|Infant mortality", US_national_yearly!$D:$AM, 10, FALSE), 1)</f>
        <v>5.5614739560123285E-8</v>
      </c>
      <c r="O3" s="7">
        <f>$B3 * IFERROR(VLOOKUP("buildings|NOx|Infant mortality", US_national_yearly!$D:$AM, 23, FALSE) / VLOOKUP("buildings|NOx|Infant mortality", US_national_yearly!$D:$AM, 10, FALSE), 1)</f>
        <v>5.534354197698437E-8</v>
      </c>
      <c r="P3" s="7">
        <f>$B3 * IFERROR(VLOOKUP("buildings|NOx|Infant mortality", US_national_yearly!$D:$AM, 24, FALSE) / VLOOKUP("buildings|NOx|Infant mortality", US_national_yearly!$D:$AM, 10, FALSE), 1)</f>
        <v>5.5072344393845448E-8</v>
      </c>
      <c r="Q3" s="7">
        <f>$B3 * IFERROR(VLOOKUP("buildings|NOx|Infant mortality", US_national_yearly!$D:$AM, 25, FALSE) / VLOOKUP("buildings|NOx|Infant mortality", US_national_yearly!$D:$AM, 10, FALSE), 1)</f>
        <v>5.4801146810706532E-8</v>
      </c>
      <c r="R3" s="7">
        <f>$B3 * IFERROR(VLOOKUP("buildings|NOx|Infant mortality", US_national_yearly!$D:$AM, 26, FALSE) / VLOOKUP("buildings|NOx|Infant mortality", US_national_yearly!$D:$AM, 10, FALSE), 1)</f>
        <v>5.4529949227567617E-8</v>
      </c>
      <c r="S3" s="7">
        <f>$B3 * IFERROR(VLOOKUP("buildings|NOx|Infant mortality", US_national_yearly!$D:$AM, 27, FALSE) / VLOOKUP("buildings|NOx|Infant mortality", US_national_yearly!$D:$AM, 10, FALSE), 1)</f>
        <v>5.4203715855852445E-8</v>
      </c>
      <c r="T3" s="7">
        <f>$B3 * IFERROR(VLOOKUP("buildings|NOx|Infant mortality", US_national_yearly!$D:$AM, 28, FALSE) / VLOOKUP("buildings|NOx|Infant mortality", US_national_yearly!$D:$AM, 10, FALSE), 1)</f>
        <v>5.3877482484137293E-8</v>
      </c>
      <c r="U3" s="7">
        <f>$B3 * IFERROR(VLOOKUP("buildings|NOx|Infant mortality", US_national_yearly!$D:$AM, 29, FALSE) / VLOOKUP("buildings|NOx|Infant mortality", US_national_yearly!$D:$AM, 10, FALSE), 1)</f>
        <v>5.3551249112422128E-8</v>
      </c>
      <c r="V3" s="7">
        <f>$B3 * IFERROR(VLOOKUP("buildings|NOx|Infant mortality", US_national_yearly!$D:$AM, 30, FALSE) / VLOOKUP("buildings|NOx|Infant mortality", US_national_yearly!$D:$AM, 10, FALSE), 1)</f>
        <v>5.3225015740706963E-8</v>
      </c>
      <c r="W3" s="7">
        <f>$B3 * IFERROR(VLOOKUP("buildings|NOx|Infant mortality", US_national_yearly!$D:$AM, 31, FALSE) / VLOOKUP("buildings|NOx|Infant mortality", US_national_yearly!$D:$AM, 10, FALSE), 1)</f>
        <v>5.2898782368991804E-8</v>
      </c>
      <c r="X3" s="7">
        <f>$B3 * IFERROR(VLOOKUP("buildings|NOx|Infant mortality", US_national_yearly!$D:$AM, 32, FALSE) / VLOOKUP("buildings|NOx|Infant mortality", US_national_yearly!$D:$AM, 10, FALSE), 1)</f>
        <v>5.2553598869277355E-8</v>
      </c>
      <c r="Y3" s="7">
        <f>$B3 * IFERROR(VLOOKUP("buildings|NOx|Infant mortality", US_national_yearly!$D:$AM, 33, FALSE) / VLOOKUP("buildings|NOx|Infant mortality", US_national_yearly!$D:$AM, 10, FALSE), 1)</f>
        <v>5.220841536956292E-8</v>
      </c>
      <c r="Z3" s="7">
        <f>$B3 * IFERROR(VLOOKUP("buildings|NOx|Infant mortality", US_national_yearly!$D:$AM, 34, FALSE) / VLOOKUP("buildings|NOx|Infant mortality", US_national_yearly!$D:$AM, 10, FALSE), 1)</f>
        <v>5.1863231869848478E-8</v>
      </c>
      <c r="AA3" s="7">
        <f>$B3 * IFERROR(VLOOKUP("buildings|NOx|Infant mortality", US_national_yearly!$D:$AM, 35, FALSE) / VLOOKUP("buildings|NOx|Infant mortality", US_national_yearly!$D:$AM, 10, FALSE), 1)</f>
        <v>5.1518048370134029E-8</v>
      </c>
      <c r="AB3" s="7">
        <f>$B3 * IFERROR(VLOOKUP("buildings|NOx|Infant mortality", US_national_yearly!$D:$AM, 36, FALSE) / VLOOKUP("buildings|NOx|Infant mortality", US_national_yearly!$D:$AM, 10, FALSE), 1)</f>
        <v>5.1172864870419581E-8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2.1521261538928177E-4</v>
      </c>
      <c r="C6" s="7">
        <f>$B6 * IFERROR(VLOOKUP("buildings|NOx|Asthma symptoms cough", US_national_yearly!$D:$AM, 11, FALSE) / VLOOKUP("buildings|NOx|Asthma symptoms cough", US_national_yearly!$D:$AM, 10, FALSE), 1)</f>
        <v>2.1815785865082134E-4</v>
      </c>
      <c r="D6" s="7">
        <f>$B6 * IFERROR(VLOOKUP("buildings|NOx|Asthma symptoms cough", US_national_yearly!$D:$AM, 12, FALSE) / VLOOKUP("buildings|NOx|Asthma symptoms cough", US_national_yearly!$D:$AM, 10, FALSE), 1)</f>
        <v>2.2110310191236093E-4</v>
      </c>
      <c r="E6" s="7">
        <f>$B6 * IFERROR(VLOOKUP("buildings|NOx|Asthma symptoms cough", US_national_yearly!$D:$AM, 13, FALSE) / VLOOKUP("buildings|NOx|Asthma symptoms cough", US_national_yearly!$D:$AM, 10, FALSE), 1)</f>
        <v>2.240483451739005E-4</v>
      </c>
      <c r="F6" s="7">
        <f>$B6 * IFERROR(VLOOKUP("buildings|NOx|Asthma symptoms cough", US_national_yearly!$D:$AM, 14, FALSE) / VLOOKUP("buildings|NOx|Asthma symptoms cough", US_national_yearly!$D:$AM, 10, FALSE), 1)</f>
        <v>2.2699358843544006E-4</v>
      </c>
      <c r="G6" s="7">
        <f>$B6 * IFERROR(VLOOKUP("buildings|NOx|Asthma symptoms cough", US_national_yearly!$D:$AM, 15, FALSE) / VLOOKUP("buildings|NOx|Asthma symptoms cough", US_national_yearly!$D:$AM, 10, FALSE), 1)</f>
        <v>2.2934738967995773E-4</v>
      </c>
      <c r="H6" s="7">
        <f>$B6 * IFERROR(VLOOKUP("buildings|NOx|Asthma symptoms cough", US_national_yearly!$D:$AM, 16, FALSE) / VLOOKUP("buildings|NOx|Asthma symptoms cough", US_national_yearly!$D:$AM, 10, FALSE), 1)</f>
        <v>2.3170119092447543E-4</v>
      </c>
      <c r="I6" s="7">
        <f>$B6 * IFERROR(VLOOKUP("buildings|NOx|Asthma symptoms cough", US_national_yearly!$D:$AM, 17, FALSE) / VLOOKUP("buildings|NOx|Asthma symptoms cough", US_national_yearly!$D:$AM, 10, FALSE), 1)</f>
        <v>2.3251577201602119E-4</v>
      </c>
      <c r="J6" s="7">
        <f>$B6 * IFERROR(VLOOKUP("buildings|NOx|Asthma symptoms cough", US_national_yearly!$D:$AM, 18, FALSE) / VLOOKUP("buildings|NOx|Asthma symptoms cough", US_national_yearly!$D:$AM, 10, FALSE), 1)</f>
        <v>2.3333035310756694E-4</v>
      </c>
      <c r="K6" s="7">
        <f>$B6 * IFERROR(VLOOKUP("buildings|NOx|Asthma symptoms cough", US_national_yearly!$D:$AM, 19, FALSE) / VLOOKUP("buildings|NOx|Asthma symptoms cough", US_national_yearly!$D:$AM, 10, FALSE), 1)</f>
        <v>2.3414493419911264E-4</v>
      </c>
      <c r="L6" s="7">
        <f>$B6 * IFERROR(VLOOKUP("buildings|NOx|Asthma symptoms cough", US_national_yearly!$D:$AM, 20, FALSE) / VLOOKUP("buildings|NOx|Asthma symptoms cough", US_national_yearly!$D:$AM, 10, FALSE), 1)</f>
        <v>2.3495951529065839E-4</v>
      </c>
      <c r="M6" s="7">
        <f>$B6 * IFERROR(VLOOKUP("buildings|NOx|Asthma symptoms cough", US_national_yearly!$D:$AM, 21, FALSE) / VLOOKUP("buildings|NOx|Asthma symptoms cough", US_national_yearly!$D:$AM, 10, FALSE), 1)</f>
        <v>2.3577409638220409E-4</v>
      </c>
      <c r="N6" s="7">
        <f>$B6 * IFERROR(VLOOKUP("buildings|NOx|Asthma symptoms cough", US_national_yearly!$D:$AM, 22, FALSE) / VLOOKUP("buildings|NOx|Asthma symptoms cough", US_national_yearly!$D:$AM, 10, FALSE), 1)</f>
        <v>2.3671600652469283E-4</v>
      </c>
      <c r="O6" s="7">
        <f>$B6 * IFERROR(VLOOKUP("buildings|NOx|Asthma symptoms cough", US_national_yearly!$D:$AM, 23, FALSE) / VLOOKUP("buildings|NOx|Asthma symptoms cough", US_national_yearly!$D:$AM, 10, FALSE), 1)</f>
        <v>2.3765791666718148E-4</v>
      </c>
      <c r="P6" s="7">
        <f>$B6 * IFERROR(VLOOKUP("buildings|NOx|Asthma symptoms cough", US_national_yearly!$D:$AM, 24, FALSE) / VLOOKUP("buildings|NOx|Asthma symptoms cough", US_national_yearly!$D:$AM, 10, FALSE), 1)</f>
        <v>2.3859982680967016E-4</v>
      </c>
      <c r="Q6" s="7">
        <f>$B6 * IFERROR(VLOOKUP("buildings|NOx|Asthma symptoms cough", US_national_yearly!$D:$AM, 25, FALSE) / VLOOKUP("buildings|NOx|Asthma symptoms cough", US_national_yearly!$D:$AM, 10, FALSE), 1)</f>
        <v>2.395417369521589E-4</v>
      </c>
      <c r="R6" s="7">
        <f>$B6 * IFERROR(VLOOKUP("buildings|NOx|Asthma symptoms cough", US_national_yearly!$D:$AM, 26, FALSE) / VLOOKUP("buildings|NOx|Asthma symptoms cough", US_national_yearly!$D:$AM, 10, FALSE), 1)</f>
        <v>2.4048364709464758E-4</v>
      </c>
      <c r="S6" s="7">
        <f>$B6 * IFERROR(VLOOKUP("buildings|NOx|Asthma symptoms cough", US_national_yearly!$D:$AM, 27, FALSE) / VLOOKUP("buildings|NOx|Asthma symptoms cough", US_national_yearly!$D:$AM, 10, FALSE), 1)</f>
        <v>2.417138017023916E-4</v>
      </c>
      <c r="T6" s="7">
        <f>$B6 * IFERROR(VLOOKUP("buildings|NOx|Asthma symptoms cough", US_national_yearly!$D:$AM, 28, FALSE) / VLOOKUP("buildings|NOx|Asthma symptoms cough", US_national_yearly!$D:$AM, 10, FALSE), 1)</f>
        <v>2.4294395631013557E-4</v>
      </c>
      <c r="U6" s="7">
        <f>$B6 * IFERROR(VLOOKUP("buildings|NOx|Asthma symptoms cough", US_national_yearly!$D:$AM, 29, FALSE) / VLOOKUP("buildings|NOx|Asthma symptoms cough", US_national_yearly!$D:$AM, 10, FALSE), 1)</f>
        <v>2.4417411091787953E-4</v>
      </c>
      <c r="V6" s="7">
        <f>$B6 * IFERROR(VLOOKUP("buildings|NOx|Asthma symptoms cough", US_national_yearly!$D:$AM, 30, FALSE) / VLOOKUP("buildings|NOx|Asthma symptoms cough", US_national_yearly!$D:$AM, 10, FALSE), 1)</f>
        <v>2.4540426552562363E-4</v>
      </c>
      <c r="W6" s="7">
        <f>$B6 * IFERROR(VLOOKUP("buildings|NOx|Asthma symptoms cough", US_national_yearly!$D:$AM, 31, FALSE) / VLOOKUP("buildings|NOx|Asthma symptoms cough", US_national_yearly!$D:$AM, 10, FALSE), 1)</f>
        <v>2.4663442013336757E-4</v>
      </c>
      <c r="X6" s="7">
        <f>$B6 * IFERROR(VLOOKUP("buildings|NOx|Asthma symptoms cough", US_national_yearly!$D:$AM, 32, FALSE) / VLOOKUP("buildings|NOx|Asthma symptoms cough", US_national_yearly!$D:$AM, 10, FALSE), 1)</f>
        <v>2.477774030365132E-4</v>
      </c>
      <c r="Y6" s="7">
        <f>$B6 * IFERROR(VLOOKUP("buildings|NOx|Asthma symptoms cough", US_national_yearly!$D:$AM, 33, FALSE) / VLOOKUP("buildings|NOx|Asthma symptoms cough", US_national_yearly!$D:$AM, 10, FALSE), 1)</f>
        <v>2.4892038593965889E-4</v>
      </c>
      <c r="Z6" s="7">
        <f>$B6 * IFERROR(VLOOKUP("buildings|NOx|Asthma symptoms cough", US_national_yearly!$D:$AM, 34, FALSE) / VLOOKUP("buildings|NOx|Asthma symptoms cough", US_national_yearly!$D:$AM, 10, FALSE), 1)</f>
        <v>2.5006336884280452E-4</v>
      </c>
      <c r="AA6" s="7">
        <f>$B6 * IFERROR(VLOOKUP("buildings|NOx|Asthma symptoms cough", US_national_yearly!$D:$AM, 35, FALSE) / VLOOKUP("buildings|NOx|Asthma symptoms cough", US_national_yearly!$D:$AM, 10, FALSE), 1)</f>
        <v>2.512063517459502E-4</v>
      </c>
      <c r="AB6" s="7">
        <f>$B6 * IFERROR(VLOOKUP("buildings|NOx|Asthma symptoms cough", US_national_yearly!$D:$AM, 36, FALSE) / VLOOKUP("buildings|NOx|Asthma symptoms cough", US_national_yearly!$D:$AM, 10, FALSE), 1)</f>
        <v>2.5234933464909589E-4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2.8981528647138445E-4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2.9378148759922007E-4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2.977476887270557E-4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3.0171388985489133E-4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3.0568009098272695E-4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3.0884982886288456E-4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3.1201956674304222E-4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3.1311651939479432E-4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3.1421347204654642E-4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3.1531042469829857E-4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3.1640737735005072E-4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3.1750433000180282E-4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3.187727498594162E-4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3.2004116971702957E-4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3.2130958957464294E-4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3.2257800943225631E-4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3.2384642928986969E-4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3.2550301251360337E-4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3.27159595737337E-4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3.2881617896107068E-4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3.3047276218480431E-4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3.3212934540853794E-4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3.3366853917269316E-4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3.3520773293684828E-4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3.367469267010035E-4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3.3828612046515855E-4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3.3982531422931372E-4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4.4278766548233876E-4</v>
      </c>
      <c r="C8" s="7">
        <f>$B8 * IFERROR(VLOOKUP("buildings|NOx|Asthma symptoms wheeze", US_national_yearly!$D:$AM, 11, FALSE) / VLOOKUP("buildings|NOx|Asthma symptoms wheeze", US_national_yearly!$D:$AM, 10, FALSE), 1)</f>
        <v>4.4884733529403163E-4</v>
      </c>
      <c r="D8" s="7">
        <f>$B8 * IFERROR(VLOOKUP("buildings|NOx|Asthma symptoms wheeze", US_national_yearly!$D:$AM, 12, FALSE) / VLOOKUP("buildings|NOx|Asthma symptoms wheeze", US_national_yearly!$D:$AM, 10, FALSE), 1)</f>
        <v>4.5490700510572455E-4</v>
      </c>
      <c r="E8" s="7">
        <f>$B8 * IFERROR(VLOOKUP("buildings|NOx|Asthma symptoms wheeze", US_national_yearly!$D:$AM, 13, FALSE) / VLOOKUP("buildings|NOx|Asthma symptoms wheeze", US_national_yearly!$D:$AM, 10, FALSE), 1)</f>
        <v>4.609666749174173E-4</v>
      </c>
      <c r="F8" s="7">
        <f>$B8 * IFERROR(VLOOKUP("buildings|NOx|Asthma symptoms wheeze", US_national_yearly!$D:$AM, 14, FALSE) / VLOOKUP("buildings|NOx|Asthma symptoms wheeze", US_national_yearly!$D:$AM, 10, FALSE), 1)</f>
        <v>4.6702634472911027E-4</v>
      </c>
      <c r="G8" s="7">
        <f>$B8 * IFERROR(VLOOKUP("buildings|NOx|Asthma symptoms wheeze", US_national_yearly!$D:$AM, 15, FALSE) / VLOOKUP("buildings|NOx|Asthma symptoms wheeze", US_national_yearly!$D:$AM, 10, FALSE), 1)</f>
        <v>4.7186915636734283E-4</v>
      </c>
      <c r="H8" s="7">
        <f>$B8 * IFERROR(VLOOKUP("buildings|NOx|Asthma symptoms wheeze", US_national_yearly!$D:$AM, 16, FALSE) / VLOOKUP("buildings|NOx|Asthma symptoms wheeze", US_national_yearly!$D:$AM, 10, FALSE), 1)</f>
        <v>4.7671196800557527E-4</v>
      </c>
      <c r="I8" s="7">
        <f>$B8 * IFERROR(VLOOKUP("buildings|NOx|Asthma symptoms wheeze", US_national_yearly!$D:$AM, 17, FALSE) / VLOOKUP("buildings|NOx|Asthma symptoms wheeze", US_national_yearly!$D:$AM, 10, FALSE), 1)</f>
        <v>4.7838792208207946E-4</v>
      </c>
      <c r="J8" s="7">
        <f>$B8 * IFERROR(VLOOKUP("buildings|NOx|Asthma symptoms wheeze", US_national_yearly!$D:$AM, 18, FALSE) / VLOOKUP("buildings|NOx|Asthma symptoms wheeze", US_national_yearly!$D:$AM, 10, FALSE), 1)</f>
        <v>4.8006387615858359E-4</v>
      </c>
      <c r="K8" s="7">
        <f>$B8 * IFERROR(VLOOKUP("buildings|NOx|Asthma symptoms wheeze", US_national_yearly!$D:$AM, 19, FALSE) / VLOOKUP("buildings|NOx|Asthma symptoms wheeze", US_national_yearly!$D:$AM, 10, FALSE), 1)</f>
        <v>4.8173983023508773E-4</v>
      </c>
      <c r="L8" s="7">
        <f>$B8 * IFERROR(VLOOKUP("buildings|NOx|Asthma symptoms wheeze", US_national_yearly!$D:$AM, 20, FALSE) / VLOOKUP("buildings|NOx|Asthma symptoms wheeze", US_national_yearly!$D:$AM, 10, FALSE), 1)</f>
        <v>4.8341578431159186E-4</v>
      </c>
      <c r="M8" s="7">
        <f>$B8 * IFERROR(VLOOKUP("buildings|NOx|Asthma symptoms wheeze", US_national_yearly!$D:$AM, 21, FALSE) / VLOOKUP("buildings|NOx|Asthma symptoms wheeze", US_national_yearly!$D:$AM, 10, FALSE), 1)</f>
        <v>4.850917383880961E-4</v>
      </c>
      <c r="N8" s="7">
        <f>$B8 * IFERROR(VLOOKUP("buildings|NOx|Asthma symptoms wheeze", US_national_yearly!$D:$AM, 22, FALSE) / VLOOKUP("buildings|NOx|Asthma symptoms wheeze", US_national_yearly!$D:$AM, 10, FALSE), 1)</f>
        <v>4.8702966471543991E-4</v>
      </c>
      <c r="O8" s="7">
        <f>$B8 * IFERROR(VLOOKUP("buildings|NOx|Asthma symptoms wheeze", US_national_yearly!$D:$AM, 23, FALSE) / VLOOKUP("buildings|NOx|Asthma symptoms wheeze", US_national_yearly!$D:$AM, 10, FALSE), 1)</f>
        <v>4.8896759104278382E-4</v>
      </c>
      <c r="P8" s="7">
        <f>$B8 * IFERROR(VLOOKUP("buildings|NOx|Asthma symptoms wheeze", US_national_yearly!$D:$AM, 24, FALSE) / VLOOKUP("buildings|NOx|Asthma symptoms wheeze", US_national_yearly!$D:$AM, 10, FALSE), 1)</f>
        <v>4.9090551737012756E-4</v>
      </c>
      <c r="Q8" s="7">
        <f>$B8 * IFERROR(VLOOKUP("buildings|NOx|Asthma symptoms wheeze", US_national_yearly!$D:$AM, 25, FALSE) / VLOOKUP("buildings|NOx|Asthma symptoms wheeze", US_national_yearly!$D:$AM, 10, FALSE), 1)</f>
        <v>4.9284344369747153E-4</v>
      </c>
      <c r="R8" s="7">
        <f>$B8 * IFERROR(VLOOKUP("buildings|NOx|Asthma symptoms wheeze", US_national_yearly!$D:$AM, 26, FALSE) / VLOOKUP("buildings|NOx|Asthma symptoms wheeze", US_national_yearly!$D:$AM, 10, FALSE), 1)</f>
        <v>4.9478137002481528E-4</v>
      </c>
      <c r="S8" s="7">
        <f>$B8 * IFERROR(VLOOKUP("buildings|NOx|Asthma symptoms wheeze", US_national_yearly!$D:$AM, 27, FALSE) / VLOOKUP("buildings|NOx|Asthma symptoms wheeze", US_national_yearly!$D:$AM, 10, FALSE), 1)</f>
        <v>4.973123428788866E-4</v>
      </c>
      <c r="T8" s="7">
        <f>$B8 * IFERROR(VLOOKUP("buildings|NOx|Asthma symptoms wheeze", US_national_yearly!$D:$AM, 28, FALSE) / VLOOKUP("buildings|NOx|Asthma symptoms wheeze", US_national_yearly!$D:$AM, 10, FALSE), 1)</f>
        <v>4.9984331573295804E-4</v>
      </c>
      <c r="U8" s="7">
        <f>$B8 * IFERROR(VLOOKUP("buildings|NOx|Asthma symptoms wheeze", US_national_yearly!$D:$AM, 29, FALSE) / VLOOKUP("buildings|NOx|Asthma symptoms wheeze", US_national_yearly!$D:$AM, 10, FALSE), 1)</f>
        <v>5.0237428858702937E-4</v>
      </c>
      <c r="V8" s="7">
        <f>$B8 * IFERROR(VLOOKUP("buildings|NOx|Asthma symptoms wheeze", US_national_yearly!$D:$AM, 30, FALSE) / VLOOKUP("buildings|NOx|Asthma symptoms wheeze", US_national_yearly!$D:$AM, 10, FALSE), 1)</f>
        <v>5.0490526144110069E-4</v>
      </c>
      <c r="W8" s="7">
        <f>$B8 * IFERROR(VLOOKUP("buildings|NOx|Asthma symptoms wheeze", US_national_yearly!$D:$AM, 31, FALSE) / VLOOKUP("buildings|NOx|Asthma symptoms wheeze", US_national_yearly!$D:$AM, 10, FALSE), 1)</f>
        <v>5.0743623429517202E-4</v>
      </c>
      <c r="X8" s="7">
        <f>$B8 * IFERROR(VLOOKUP("buildings|NOx|Asthma symptoms wheeze", US_national_yearly!$D:$AM, 32, FALSE) / VLOOKUP("buildings|NOx|Asthma symptoms wheeze", US_national_yearly!$D:$AM, 10, FALSE), 1)</f>
        <v>5.0978785634533312E-4</v>
      </c>
      <c r="Y8" s="7">
        <f>$B8 * IFERROR(VLOOKUP("buildings|NOx|Asthma symptoms wheeze", US_national_yearly!$D:$AM, 33, FALSE) / VLOOKUP("buildings|NOx|Asthma symptoms wheeze", US_national_yearly!$D:$AM, 10, FALSE), 1)</f>
        <v>5.1213947839549422E-4</v>
      </c>
      <c r="Z8" s="7">
        <f>$B8 * IFERROR(VLOOKUP("buildings|NOx|Asthma symptoms wheeze", US_national_yearly!$D:$AM, 34, FALSE) / VLOOKUP("buildings|NOx|Asthma symptoms wheeze", US_national_yearly!$D:$AM, 10, FALSE), 1)</f>
        <v>5.1449110044565532E-4</v>
      </c>
      <c r="AA8" s="7">
        <f>$B8 * IFERROR(VLOOKUP("buildings|NOx|Asthma symptoms wheeze", US_national_yearly!$D:$AM, 35, FALSE) / VLOOKUP("buildings|NOx|Asthma symptoms wheeze", US_national_yearly!$D:$AM, 10, FALSE), 1)</f>
        <v>5.1684272249581643E-4</v>
      </c>
      <c r="AB8" s="7">
        <f>$B8 * IFERROR(VLOOKUP("buildings|NOx|Asthma symptoms wheeze", US_national_yearly!$D:$AM, 36, FALSE) / VLOOKUP("buildings|NOx|Asthma symptoms wheeze", US_national_yearly!$D:$AM, 10, FALSE), 1)</f>
        <v>5.1919434454597763E-4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5.2491086651671821E-6</v>
      </c>
      <c r="C12" s="7">
        <f>$B12 * IFERROR(VLOOKUP("buildings|NOx|Respiratory hospital admissions", US_national_yearly!$D:$AM, 11, FALSE) / VLOOKUP("buildings|NOx|Respiratory hospital admissions", US_national_yearly!$D:$AM, 10, FALSE), 1)</f>
        <v>5.3802542358155785E-6</v>
      </c>
      <c r="D12" s="7">
        <f>$B12 * IFERROR(VLOOKUP("buildings|NOx|Respiratory hospital admissions", US_national_yearly!$D:$AM, 12, FALSE) / VLOOKUP("buildings|NOx|Respiratory hospital admissions", US_national_yearly!$D:$AM, 10, FALSE), 1)</f>
        <v>5.5113998064639748E-6</v>
      </c>
      <c r="E12" s="7">
        <f>$B12 * IFERROR(VLOOKUP("buildings|NOx|Respiratory hospital admissions", US_national_yearly!$D:$AM, 13, FALSE) / VLOOKUP("buildings|NOx|Respiratory hospital admissions", US_national_yearly!$D:$AM, 10, FALSE), 1)</f>
        <v>5.6425453771123711E-6</v>
      </c>
      <c r="F12" s="7">
        <f>$B12 * IFERROR(VLOOKUP("buildings|NOx|Respiratory hospital admissions", US_national_yearly!$D:$AM, 14, FALSE) / VLOOKUP("buildings|NOx|Respiratory hospital admissions", US_national_yearly!$D:$AM, 10, FALSE), 1)</f>
        <v>5.7736909477607675E-6</v>
      </c>
      <c r="G12" s="7">
        <f>$B12 * IFERROR(VLOOKUP("buildings|NOx|Respiratory hospital admissions", US_national_yearly!$D:$AM, 15, FALSE) / VLOOKUP("buildings|NOx|Respiratory hospital admissions", US_national_yearly!$D:$AM, 10, FALSE), 1)</f>
        <v>5.8990701040318823E-6</v>
      </c>
      <c r="H12" s="7">
        <f>$B12 * IFERROR(VLOOKUP("buildings|NOx|Respiratory hospital admissions", US_national_yearly!$D:$AM, 16, FALSE) / VLOOKUP("buildings|NOx|Respiratory hospital admissions", US_national_yearly!$D:$AM, 10, FALSE), 1)</f>
        <v>6.0244492603029945E-6</v>
      </c>
      <c r="I12" s="7">
        <f>$B12 * IFERROR(VLOOKUP("buildings|NOx|Respiratory hospital admissions", US_national_yearly!$D:$AM, 17, FALSE) / VLOOKUP("buildings|NOx|Respiratory hospital admissions", US_national_yearly!$D:$AM, 10, FALSE), 1)</f>
        <v>6.1309558995891026E-6</v>
      </c>
      <c r="J12" s="7">
        <f>$B12 * IFERROR(VLOOKUP("buildings|NOx|Respiratory hospital admissions", US_national_yearly!$D:$AM, 18, FALSE) / VLOOKUP("buildings|NOx|Respiratory hospital admissions", US_national_yearly!$D:$AM, 10, FALSE), 1)</f>
        <v>6.2374625388752115E-6</v>
      </c>
      <c r="K12" s="7">
        <f>$B12 * IFERROR(VLOOKUP("buildings|NOx|Respiratory hospital admissions", US_national_yearly!$D:$AM, 19, FALSE) / VLOOKUP("buildings|NOx|Respiratory hospital admissions", US_national_yearly!$D:$AM, 10, FALSE), 1)</f>
        <v>6.3439691781613195E-6</v>
      </c>
      <c r="L12" s="7">
        <f>$B12 * IFERROR(VLOOKUP("buildings|NOx|Respiratory hospital admissions", US_national_yearly!$D:$AM, 20, FALSE) / VLOOKUP("buildings|NOx|Respiratory hospital admissions", US_national_yearly!$D:$AM, 10, FALSE), 1)</f>
        <v>6.4504758174474284E-6</v>
      </c>
      <c r="M12" s="7">
        <f>$B12 * IFERROR(VLOOKUP("buildings|NOx|Respiratory hospital admissions", US_national_yearly!$D:$AM, 21, FALSE) / VLOOKUP("buildings|NOx|Respiratory hospital admissions", US_national_yearly!$D:$AM, 10, FALSE), 1)</f>
        <v>6.5569824567335373E-6</v>
      </c>
      <c r="N12" s="7">
        <f>$B12 * IFERROR(VLOOKUP("buildings|NOx|Respiratory hospital admissions", US_national_yearly!$D:$AM, 22, FALSE) / VLOOKUP("buildings|NOx|Respiratory hospital admissions", US_national_yearly!$D:$AM, 10, FALSE), 1)</f>
        <v>6.6281815590747016E-6</v>
      </c>
      <c r="O12" s="7">
        <f>$B12 * IFERROR(VLOOKUP("buildings|NOx|Respiratory hospital admissions", US_national_yearly!$D:$AM, 23, FALSE) / VLOOKUP("buildings|NOx|Respiratory hospital admissions", US_national_yearly!$D:$AM, 10, FALSE), 1)</f>
        <v>6.6993806614158667E-6</v>
      </c>
      <c r="P12" s="7">
        <f>$B12 * IFERROR(VLOOKUP("buildings|NOx|Respiratory hospital admissions", US_national_yearly!$D:$AM, 24, FALSE) / VLOOKUP("buildings|NOx|Respiratory hospital admissions", US_national_yearly!$D:$AM, 10, FALSE), 1)</f>
        <v>6.7705797637570319E-6</v>
      </c>
      <c r="Q12" s="7">
        <f>$B12 * IFERROR(VLOOKUP("buildings|NOx|Respiratory hospital admissions", US_national_yearly!$D:$AM, 25, FALSE) / VLOOKUP("buildings|NOx|Respiratory hospital admissions", US_national_yearly!$D:$AM, 10, FALSE), 1)</f>
        <v>6.8417788660981979E-6</v>
      </c>
      <c r="R12" s="7">
        <f>$B12 * IFERROR(VLOOKUP("buildings|NOx|Respiratory hospital admissions", US_national_yearly!$D:$AM, 26, FALSE) / VLOOKUP("buildings|NOx|Respiratory hospital admissions", US_national_yearly!$D:$AM, 10, FALSE), 1)</f>
        <v>6.9129779684393613E-6</v>
      </c>
      <c r="S12" s="7">
        <f>$B12 * IFERROR(VLOOKUP("buildings|NOx|Respiratory hospital admissions", US_national_yearly!$D:$AM, 27, FALSE) / VLOOKUP("buildings|NOx|Respiratory hospital admissions", US_national_yearly!$D:$AM, 10, FALSE), 1)</f>
        <v>6.951152770945105E-6</v>
      </c>
      <c r="T12" s="7">
        <f>$B12 * IFERROR(VLOOKUP("buildings|NOx|Respiratory hospital admissions", US_national_yearly!$D:$AM, 28, FALSE) / VLOOKUP("buildings|NOx|Respiratory hospital admissions", US_national_yearly!$D:$AM, 10, FALSE), 1)</f>
        <v>6.9893275734508495E-6</v>
      </c>
      <c r="U12" s="7">
        <f>$B12 * IFERROR(VLOOKUP("buildings|NOx|Respiratory hospital admissions", US_national_yearly!$D:$AM, 29, FALSE) / VLOOKUP("buildings|NOx|Respiratory hospital admissions", US_national_yearly!$D:$AM, 10, FALSE), 1)</f>
        <v>7.027502375956594E-6</v>
      </c>
      <c r="V12" s="7">
        <f>$B12 * IFERROR(VLOOKUP("buildings|NOx|Respiratory hospital admissions", US_national_yearly!$D:$AM, 30, FALSE) / VLOOKUP("buildings|NOx|Respiratory hospital admissions", US_national_yearly!$D:$AM, 10, FALSE), 1)</f>
        <v>7.0656771784623377E-6</v>
      </c>
      <c r="W12" s="7">
        <f>$B12 * IFERROR(VLOOKUP("buildings|NOx|Respiratory hospital admissions", US_national_yearly!$D:$AM, 31, FALSE) / VLOOKUP("buildings|NOx|Respiratory hospital admissions", US_national_yearly!$D:$AM, 10, FALSE), 1)</f>
        <v>7.1038519809680805E-6</v>
      </c>
      <c r="X12" s="7">
        <f>$B12 * IFERROR(VLOOKUP("buildings|NOx|Respiratory hospital admissions", US_national_yearly!$D:$AM, 32, FALSE) / VLOOKUP("buildings|NOx|Respiratory hospital admissions", US_national_yearly!$D:$AM, 10, FALSE), 1)</f>
        <v>7.1299844345452448E-6</v>
      </c>
      <c r="Y12" s="7">
        <f>$B12 * IFERROR(VLOOKUP("buildings|NOx|Respiratory hospital admissions", US_national_yearly!$D:$AM, 33, FALSE) / VLOOKUP("buildings|NOx|Respiratory hospital admissions", US_national_yearly!$D:$AM, 10, FALSE), 1)</f>
        <v>7.1561168881224084E-6</v>
      </c>
      <c r="Z12" s="7">
        <f>$B12 * IFERROR(VLOOKUP("buildings|NOx|Respiratory hospital admissions", US_national_yearly!$D:$AM, 34, FALSE) / VLOOKUP("buildings|NOx|Respiratory hospital admissions", US_national_yearly!$D:$AM, 10, FALSE), 1)</f>
        <v>7.1822493416995736E-6</v>
      </c>
      <c r="AA12" s="7">
        <f>$B12 * IFERROR(VLOOKUP("buildings|NOx|Respiratory hospital admissions", US_national_yearly!$D:$AM, 35, FALSE) / VLOOKUP("buildings|NOx|Respiratory hospital admissions", US_national_yearly!$D:$AM, 10, FALSE), 1)</f>
        <v>7.2083817952767363E-6</v>
      </c>
      <c r="AB12" s="7">
        <f>$B12 * IFERROR(VLOOKUP("buildings|NOx|Respiratory hospital admissions", US_national_yearly!$D:$AM, 36, FALSE) / VLOOKUP("buildings|NOx|Respiratory hospital admissions", US_national_yearly!$D:$AM, 10, FALSE), 1)</f>
        <v>7.2345142488539006E-6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2.492187864164105E-5</v>
      </c>
      <c r="C13" s="7">
        <f>$B13 * IFERROR(VLOOKUP("buildings|NOx|Non-fatal heart attacks", US_national_yearly!$D:$AM, 11, FALSE) / VLOOKUP("buildings|NOx|Non-fatal heart attacks", US_national_yearly!$D:$AM, 10, FALSE), 1)</f>
        <v>2.563484277728128E-5</v>
      </c>
      <c r="D13" s="7">
        <f>$B13 * IFERROR(VLOOKUP("buildings|NOx|Non-fatal heart attacks", US_national_yearly!$D:$AM, 12, FALSE) / VLOOKUP("buildings|NOx|Non-fatal heart attacks", US_national_yearly!$D:$AM, 10, FALSE), 1)</f>
        <v>2.6347806912921521E-5</v>
      </c>
      <c r="E13" s="7">
        <f>$B13 * IFERROR(VLOOKUP("buildings|NOx|Non-fatal heart attacks", US_national_yearly!$D:$AM, 13, FALSE) / VLOOKUP("buildings|NOx|Non-fatal heart attacks", US_national_yearly!$D:$AM, 10, FALSE), 1)</f>
        <v>2.7060771048561748E-5</v>
      </c>
      <c r="F13" s="7">
        <f>$B13 * IFERROR(VLOOKUP("buildings|NOx|Non-fatal heart attacks", US_national_yearly!$D:$AM, 14, FALSE) / VLOOKUP("buildings|NOx|Non-fatal heart attacks", US_national_yearly!$D:$AM, 10, FALSE), 1)</f>
        <v>2.7773735184201979E-5</v>
      </c>
      <c r="G13" s="7">
        <f>$B13 * IFERROR(VLOOKUP("buildings|NOx|Non-fatal heart attacks", US_national_yearly!$D:$AM, 15, FALSE) / VLOOKUP("buildings|NOx|Non-fatal heart attacks", US_national_yearly!$D:$AM, 10, FALSE), 1)</f>
        <v>2.8440140363773171E-5</v>
      </c>
      <c r="H13" s="7">
        <f>$B13 * IFERROR(VLOOKUP("buildings|NOx|Non-fatal heart attacks", US_national_yearly!$D:$AM, 16, FALSE) / VLOOKUP("buildings|NOx|Non-fatal heart attacks", US_national_yearly!$D:$AM, 10, FALSE), 1)</f>
        <v>2.9106545543344368E-5</v>
      </c>
      <c r="I13" s="7">
        <f>$B13 * IFERROR(VLOOKUP("buildings|NOx|Non-fatal heart attacks", US_national_yearly!$D:$AM, 17, FALSE) / VLOOKUP("buildings|NOx|Non-fatal heart attacks", US_national_yearly!$D:$AM, 10, FALSE), 1)</f>
        <v>2.9632291325789966E-5</v>
      </c>
      <c r="J13" s="7">
        <f>$B13 * IFERROR(VLOOKUP("buildings|NOx|Non-fatal heart attacks", US_national_yearly!$D:$AM, 18, FALSE) / VLOOKUP("buildings|NOx|Non-fatal heart attacks", US_national_yearly!$D:$AM, 10, FALSE), 1)</f>
        <v>3.0158037108235567E-5</v>
      </c>
      <c r="K13" s="7">
        <f>$B13 * IFERROR(VLOOKUP("buildings|NOx|Non-fatal heart attacks", US_national_yearly!$D:$AM, 19, FALSE) / VLOOKUP("buildings|NOx|Non-fatal heart attacks", US_national_yearly!$D:$AM, 10, FALSE), 1)</f>
        <v>3.0683782890681175E-5</v>
      </c>
      <c r="L13" s="7">
        <f>$B13 * IFERROR(VLOOKUP("buildings|NOx|Non-fatal heart attacks", US_national_yearly!$D:$AM, 20, FALSE) / VLOOKUP("buildings|NOx|Non-fatal heart attacks", US_national_yearly!$D:$AM, 10, FALSE), 1)</f>
        <v>3.1209528673126759E-5</v>
      </c>
      <c r="M13" s="7">
        <f>$B13 * IFERROR(VLOOKUP("buildings|NOx|Non-fatal heart attacks", US_national_yearly!$D:$AM, 21, FALSE) / VLOOKUP("buildings|NOx|Non-fatal heart attacks", US_national_yearly!$D:$AM, 10, FALSE), 1)</f>
        <v>3.1735274455572371E-5</v>
      </c>
      <c r="N13" s="7">
        <f>$B13 * IFERROR(VLOOKUP("buildings|NOx|Non-fatal heart attacks", US_national_yearly!$D:$AM, 22, FALSE) / VLOOKUP("buildings|NOx|Non-fatal heart attacks", US_national_yearly!$D:$AM, 10, FALSE), 1)</f>
        <v>3.2051684204921122E-5</v>
      </c>
      <c r="O13" s="7">
        <f>$B13 * IFERROR(VLOOKUP("buildings|NOx|Non-fatal heart attacks", US_national_yearly!$D:$AM, 23, FALSE) / VLOOKUP("buildings|NOx|Non-fatal heart attacks", US_national_yearly!$D:$AM, 10, FALSE), 1)</f>
        <v>3.2368093954269866E-5</v>
      </c>
      <c r="P13" s="7">
        <f>$B13 * IFERROR(VLOOKUP("buildings|NOx|Non-fatal heart attacks", US_national_yearly!$D:$AM, 24, FALSE) / VLOOKUP("buildings|NOx|Non-fatal heart attacks", US_national_yearly!$D:$AM, 10, FALSE), 1)</f>
        <v>3.2684503703618618E-5</v>
      </c>
      <c r="Q13" s="7">
        <f>$B13 * IFERROR(VLOOKUP("buildings|NOx|Non-fatal heart attacks", US_national_yearly!$D:$AM, 25, FALSE) / VLOOKUP("buildings|NOx|Non-fatal heart attacks", US_national_yearly!$D:$AM, 10, FALSE), 1)</f>
        <v>3.3000913452967362E-5</v>
      </c>
      <c r="R13" s="7">
        <f>$B13 * IFERROR(VLOOKUP("buildings|NOx|Non-fatal heart attacks", US_national_yearly!$D:$AM, 26, FALSE) / VLOOKUP("buildings|NOx|Non-fatal heart attacks", US_national_yearly!$D:$AM, 10, FALSE), 1)</f>
        <v>3.3317323202316106E-5</v>
      </c>
      <c r="S13" s="7">
        <f>$B13 * IFERROR(VLOOKUP("buildings|NOx|Non-fatal heart attacks", US_national_yearly!$D:$AM, 27, FALSE) / VLOOKUP("buildings|NOx|Non-fatal heart attacks", US_national_yearly!$D:$AM, 10, FALSE), 1)</f>
        <v>3.3461112205223483E-5</v>
      </c>
      <c r="T13" s="7">
        <f>$B13 * IFERROR(VLOOKUP("buildings|NOx|Non-fatal heart attacks", US_national_yearly!$D:$AM, 28, FALSE) / VLOOKUP("buildings|NOx|Non-fatal heart attacks", US_national_yearly!$D:$AM, 10, FALSE), 1)</f>
        <v>3.3604901208130866E-5</v>
      </c>
      <c r="U13" s="7">
        <f>$B13 * IFERROR(VLOOKUP("buildings|NOx|Non-fatal heart attacks", US_national_yearly!$D:$AM, 29, FALSE) / VLOOKUP("buildings|NOx|Non-fatal heart attacks", US_national_yearly!$D:$AM, 10, FALSE), 1)</f>
        <v>3.3748690211038242E-5</v>
      </c>
      <c r="V13" s="7">
        <f>$B13 * IFERROR(VLOOKUP("buildings|NOx|Non-fatal heart attacks", US_national_yearly!$D:$AM, 30, FALSE) / VLOOKUP("buildings|NOx|Non-fatal heart attacks", US_national_yearly!$D:$AM, 10, FALSE), 1)</f>
        <v>3.3892479213945612E-5</v>
      </c>
      <c r="W13" s="7">
        <f>$B13 * IFERROR(VLOOKUP("buildings|NOx|Non-fatal heart attacks", US_national_yearly!$D:$AM, 31, FALSE) / VLOOKUP("buildings|NOx|Non-fatal heart attacks", US_national_yearly!$D:$AM, 10, FALSE), 1)</f>
        <v>3.4036268216852988E-5</v>
      </c>
      <c r="X13" s="7">
        <f>$B13 * IFERROR(VLOOKUP("buildings|NOx|Non-fatal heart attacks", US_national_yearly!$D:$AM, 32, FALSE) / VLOOKUP("buildings|NOx|Non-fatal heart attacks", US_national_yearly!$D:$AM, 10, FALSE), 1)</f>
        <v>3.413245135084402E-5</v>
      </c>
      <c r="Y13" s="7">
        <f>$B13 * IFERROR(VLOOKUP("buildings|NOx|Non-fatal heart attacks", US_national_yearly!$D:$AM, 33, FALSE) / VLOOKUP("buildings|NOx|Non-fatal heart attacks", US_national_yearly!$D:$AM, 10, FALSE), 1)</f>
        <v>3.4228634484835045E-5</v>
      </c>
      <c r="Z13" s="7">
        <f>$B13 * IFERROR(VLOOKUP("buildings|NOx|Non-fatal heart attacks", US_national_yearly!$D:$AM, 34, FALSE) / VLOOKUP("buildings|NOx|Non-fatal heart attacks", US_national_yearly!$D:$AM, 10, FALSE), 1)</f>
        <v>3.4324817618826083E-5</v>
      </c>
      <c r="AA13" s="7">
        <f>$B13 * IFERROR(VLOOKUP("buildings|NOx|Non-fatal heart attacks", US_national_yearly!$D:$AM, 35, FALSE) / VLOOKUP("buildings|NOx|Non-fatal heart attacks", US_national_yearly!$D:$AM, 10, FALSE), 1)</f>
        <v>3.4421000752817108E-5</v>
      </c>
      <c r="AB13" s="7">
        <f>$B13 * IFERROR(VLOOKUP("buildings|NOx|Non-fatal heart attacks", US_national_yearly!$D:$AM, 36, FALSE) / VLOOKUP("buildings|NOx|Non-fatal heart attacks", US_national_yearly!$D:$AM, 10, FALSE), 1)</f>
        <v>3.451718388680814E-5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2.471270165803351E-2</v>
      </c>
      <c r="C14" s="7">
        <f>$B14 * IFERROR(VLOOKUP("buildings|NOx|Minor restricted activity days", US_national_yearly!$D:$AM, 11, FALSE) / VLOOKUP("buildings|NOx|Minor restricted activity days", US_national_yearly!$D:$AM, 10, FALSE), 1)</f>
        <v>2.4751049926628094E-2</v>
      </c>
      <c r="D14" s="7">
        <f>$B14 * IFERROR(VLOOKUP("buildings|NOx|Minor restricted activity days", US_national_yearly!$D:$AM, 12, FALSE) / VLOOKUP("buildings|NOx|Minor restricted activity days", US_national_yearly!$D:$AM, 10, FALSE), 1)</f>
        <v>2.4789398195222679E-2</v>
      </c>
      <c r="E14" s="7">
        <f>$B14 * IFERROR(VLOOKUP("buildings|NOx|Minor restricted activity days", US_national_yearly!$D:$AM, 13, FALSE) / VLOOKUP("buildings|NOx|Minor restricted activity days", US_national_yearly!$D:$AM, 10, FALSE), 1)</f>
        <v>2.4827746463817264E-2</v>
      </c>
      <c r="F14" s="7">
        <f>$B14 * IFERROR(VLOOKUP("buildings|NOx|Minor restricted activity days", US_national_yearly!$D:$AM, 14, FALSE) / VLOOKUP("buildings|NOx|Minor restricted activity days", US_national_yearly!$D:$AM, 10, FALSE), 1)</f>
        <v>2.4866094732411848E-2</v>
      </c>
      <c r="G14" s="7">
        <f>$B14 * IFERROR(VLOOKUP("buildings|NOx|Minor restricted activity days", US_national_yearly!$D:$AM, 15, FALSE) / VLOOKUP("buildings|NOx|Minor restricted activity days", US_national_yearly!$D:$AM, 10, FALSE), 1)</f>
        <v>2.4934987463488451E-2</v>
      </c>
      <c r="H14" s="7">
        <f>$B14 * IFERROR(VLOOKUP("buildings|NOx|Minor restricted activity days", US_national_yearly!$D:$AM, 16, FALSE) / VLOOKUP("buildings|NOx|Minor restricted activity days", US_national_yearly!$D:$AM, 10, FALSE), 1)</f>
        <v>2.5003880194565051E-2</v>
      </c>
      <c r="I14" s="7">
        <f>$B14 * IFERROR(VLOOKUP("buildings|NOx|Minor restricted activity days", US_national_yearly!$D:$AM, 17, FALSE) / VLOOKUP("buildings|NOx|Minor restricted activity days", US_national_yearly!$D:$AM, 10, FALSE), 1)</f>
        <v>2.513820136496903E-2</v>
      </c>
      <c r="J14" s="7">
        <f>$B14 * IFERROR(VLOOKUP("buildings|NOx|Minor restricted activity days", US_national_yearly!$D:$AM, 18, FALSE) / VLOOKUP("buildings|NOx|Minor restricted activity days", US_national_yearly!$D:$AM, 10, FALSE), 1)</f>
        <v>2.5272522535373008E-2</v>
      </c>
      <c r="K14" s="7">
        <f>$B14 * IFERROR(VLOOKUP("buildings|NOx|Minor restricted activity days", US_national_yearly!$D:$AM, 19, FALSE) / VLOOKUP("buildings|NOx|Minor restricted activity days", US_national_yearly!$D:$AM, 10, FALSE), 1)</f>
        <v>2.5406843705776991E-2</v>
      </c>
      <c r="L14" s="7">
        <f>$B14 * IFERROR(VLOOKUP("buildings|NOx|Minor restricted activity days", US_national_yearly!$D:$AM, 20, FALSE) / VLOOKUP("buildings|NOx|Minor restricted activity days", US_national_yearly!$D:$AM, 10, FALSE), 1)</f>
        <v>2.554116487618097E-2</v>
      </c>
      <c r="M14" s="7">
        <f>$B14 * IFERROR(VLOOKUP("buildings|NOx|Minor restricted activity days", US_national_yearly!$D:$AM, 21, FALSE) / VLOOKUP("buildings|NOx|Minor restricted activity days", US_national_yearly!$D:$AM, 10, FALSE), 1)</f>
        <v>2.5675486046584949E-2</v>
      </c>
      <c r="N14" s="7">
        <f>$B14 * IFERROR(VLOOKUP("buildings|NOx|Minor restricted activity days", US_national_yearly!$D:$AM, 22, FALSE) / VLOOKUP("buildings|NOx|Minor restricted activity days", US_national_yearly!$D:$AM, 10, FALSE), 1)</f>
        <v>2.5867647025823042E-2</v>
      </c>
      <c r="O14" s="7">
        <f>$B14 * IFERROR(VLOOKUP("buildings|NOx|Minor restricted activity days", US_national_yearly!$D:$AM, 23, FALSE) / VLOOKUP("buildings|NOx|Minor restricted activity days", US_national_yearly!$D:$AM, 10, FALSE), 1)</f>
        <v>2.6059808005061129E-2</v>
      </c>
      <c r="P14" s="7">
        <f>$B14 * IFERROR(VLOOKUP("buildings|NOx|Minor restricted activity days", US_national_yearly!$D:$AM, 24, FALSE) / VLOOKUP("buildings|NOx|Minor restricted activity days", US_national_yearly!$D:$AM, 10, FALSE), 1)</f>
        <v>2.6251968984299223E-2</v>
      </c>
      <c r="Q14" s="7">
        <f>$B14 * IFERROR(VLOOKUP("buildings|NOx|Minor restricted activity days", US_national_yearly!$D:$AM, 25, FALSE) / VLOOKUP("buildings|NOx|Minor restricted activity days", US_national_yearly!$D:$AM, 10, FALSE), 1)</f>
        <v>2.6444129963537309E-2</v>
      </c>
      <c r="R14" s="7">
        <f>$B14 * IFERROR(VLOOKUP("buildings|NOx|Minor restricted activity days", US_national_yearly!$D:$AM, 26, FALSE) / VLOOKUP("buildings|NOx|Minor restricted activity days", US_national_yearly!$D:$AM, 10, FALSE), 1)</f>
        <v>2.6636290942775396E-2</v>
      </c>
      <c r="S14" s="7">
        <f>$B14 * IFERROR(VLOOKUP("buildings|NOx|Minor restricted activity days", US_national_yearly!$D:$AM, 27, FALSE) / VLOOKUP("buildings|NOx|Minor restricted activity days", US_national_yearly!$D:$AM, 10, FALSE), 1)</f>
        <v>2.6828396604084988E-2</v>
      </c>
      <c r="T14" s="7">
        <f>$B14 * IFERROR(VLOOKUP("buildings|NOx|Minor restricted activity days", US_national_yearly!$D:$AM, 28, FALSE) / VLOOKUP("buildings|NOx|Minor restricted activity days", US_national_yearly!$D:$AM, 10, FALSE), 1)</f>
        <v>2.702050226539458E-2</v>
      </c>
      <c r="U14" s="7">
        <f>$B14 * IFERROR(VLOOKUP("buildings|NOx|Minor restricted activity days", US_national_yearly!$D:$AM, 29, FALSE) / VLOOKUP("buildings|NOx|Minor restricted activity days", US_national_yearly!$D:$AM, 10, FALSE), 1)</f>
        <v>2.7212607926704178E-2</v>
      </c>
      <c r="V14" s="7">
        <f>$B14 * IFERROR(VLOOKUP("buildings|NOx|Minor restricted activity days", US_national_yearly!$D:$AM, 30, FALSE) / VLOOKUP("buildings|NOx|Minor restricted activity days", US_national_yearly!$D:$AM, 10, FALSE), 1)</f>
        <v>2.7404713588013774E-2</v>
      </c>
      <c r="W14" s="7">
        <f>$B14 * IFERROR(VLOOKUP("buildings|NOx|Minor restricted activity days", US_national_yearly!$D:$AM, 31, FALSE) / VLOOKUP("buildings|NOx|Minor restricted activity days", US_national_yearly!$D:$AM, 10, FALSE), 1)</f>
        <v>2.7596819249323366E-2</v>
      </c>
      <c r="X14" s="7">
        <f>$B14 * IFERROR(VLOOKUP("buildings|NOx|Minor restricted activity days", US_national_yearly!$D:$AM, 32, FALSE) / VLOOKUP("buildings|NOx|Minor restricted activity days", US_national_yearly!$D:$AM, 10, FALSE), 1)</f>
        <v>2.7759290898194917E-2</v>
      </c>
      <c r="Y14" s="7">
        <f>$B14 * IFERROR(VLOOKUP("buildings|NOx|Minor restricted activity days", US_national_yearly!$D:$AM, 33, FALSE) / VLOOKUP("buildings|NOx|Minor restricted activity days", US_national_yearly!$D:$AM, 10, FALSE), 1)</f>
        <v>2.7921762547066475E-2</v>
      </c>
      <c r="Z14" s="7">
        <f>$B14 * IFERROR(VLOOKUP("buildings|NOx|Minor restricted activity days", US_national_yearly!$D:$AM, 34, FALSE) / VLOOKUP("buildings|NOx|Minor restricted activity days", US_national_yearly!$D:$AM, 10, FALSE), 1)</f>
        <v>2.8084234195938019E-2</v>
      </c>
      <c r="AA14" s="7">
        <f>$B14 * IFERROR(VLOOKUP("buildings|NOx|Minor restricted activity days", US_national_yearly!$D:$AM, 35, FALSE) / VLOOKUP("buildings|NOx|Minor restricted activity days", US_national_yearly!$D:$AM, 10, FALSE), 1)</f>
        <v>2.8246705844809577E-2</v>
      </c>
      <c r="AB14" s="7">
        <f>$B14 * IFERROR(VLOOKUP("buildings|NOx|Minor restricted activity days", US_national_yearly!$D:$AM, 36, FALSE) / VLOOKUP("buildings|NOx|Minor restricted activity days", US_national_yearly!$D:$AM, 10, FALSE), 1)</f>
        <v>2.8409177493681128E-2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4.1962356610896557E-3</v>
      </c>
      <c r="C15" s="7">
        <f>$B15 * IFERROR(VLOOKUP("buildings|NOx|Work loss days", US_national_yearly!$D:$AM, 11, FALSE) / VLOOKUP("buildings|NOx|Work loss days", US_national_yearly!$D:$AM, 10, FALSE), 1)</f>
        <v>4.2056425096971429E-3</v>
      </c>
      <c r="D15" s="7">
        <f>$B15 * IFERROR(VLOOKUP("buildings|NOx|Work loss days", US_national_yearly!$D:$AM, 12, FALSE) / VLOOKUP("buildings|NOx|Work loss days", US_national_yearly!$D:$AM, 10, FALSE), 1)</f>
        <v>4.2150493583046292E-3</v>
      </c>
      <c r="E15" s="7">
        <f>$B15 * IFERROR(VLOOKUP("buildings|NOx|Work loss days", US_national_yearly!$D:$AM, 13, FALSE) / VLOOKUP("buildings|NOx|Work loss days", US_national_yearly!$D:$AM, 10, FALSE), 1)</f>
        <v>4.2244562069121147E-3</v>
      </c>
      <c r="F15" s="7">
        <f>$B15 * IFERROR(VLOOKUP("buildings|NOx|Work loss days", US_national_yearly!$D:$AM, 14, FALSE) / VLOOKUP("buildings|NOx|Work loss days", US_national_yearly!$D:$AM, 10, FALSE), 1)</f>
        <v>4.233863055519602E-3</v>
      </c>
      <c r="G15" s="7">
        <f>$B15 * IFERROR(VLOOKUP("buildings|NOx|Work loss days", US_national_yearly!$D:$AM, 15, FALSE) / VLOOKUP("buildings|NOx|Work loss days", US_national_yearly!$D:$AM, 10, FALSE), 1)</f>
        <v>4.2475651851660648E-3</v>
      </c>
      <c r="H15" s="7">
        <f>$B15 * IFERROR(VLOOKUP("buildings|NOx|Work loss days", US_national_yearly!$D:$AM, 16, FALSE) / VLOOKUP("buildings|NOx|Work loss days", US_national_yearly!$D:$AM, 10, FALSE), 1)</f>
        <v>4.2612673148125285E-3</v>
      </c>
      <c r="I15" s="7">
        <f>$B15 * IFERROR(VLOOKUP("buildings|NOx|Work loss days", US_national_yearly!$D:$AM, 17, FALSE) / VLOOKUP("buildings|NOx|Work loss days", US_national_yearly!$D:$AM, 10, FALSE), 1)</f>
        <v>4.2834277885192736E-3</v>
      </c>
      <c r="J15" s="7">
        <f>$B15 * IFERROR(VLOOKUP("buildings|NOx|Work loss days", US_national_yearly!$D:$AM, 18, FALSE) / VLOOKUP("buildings|NOx|Work loss days", US_national_yearly!$D:$AM, 10, FALSE), 1)</f>
        <v>4.3055882622260169E-3</v>
      </c>
      <c r="K15" s="7">
        <f>$B15 * IFERROR(VLOOKUP("buildings|NOx|Work loss days", US_national_yearly!$D:$AM, 19, FALSE) / VLOOKUP("buildings|NOx|Work loss days", US_national_yearly!$D:$AM, 10, FALSE), 1)</f>
        <v>4.327748735932762E-3</v>
      </c>
      <c r="L15" s="7">
        <f>$B15 * IFERROR(VLOOKUP("buildings|NOx|Work loss days", US_national_yearly!$D:$AM, 20, FALSE) / VLOOKUP("buildings|NOx|Work loss days", US_national_yearly!$D:$AM, 10, FALSE), 1)</f>
        <v>4.349909209639507E-3</v>
      </c>
      <c r="M15" s="7">
        <f>$B15 * IFERROR(VLOOKUP("buildings|NOx|Work loss days", US_national_yearly!$D:$AM, 21, FALSE) / VLOOKUP("buildings|NOx|Work loss days", US_national_yearly!$D:$AM, 10, FALSE), 1)</f>
        <v>4.3720696833462504E-3</v>
      </c>
      <c r="N15" s="7">
        <f>$B15 * IFERROR(VLOOKUP("buildings|NOx|Work loss days", US_national_yearly!$D:$AM, 22, FALSE) / VLOOKUP("buildings|NOx|Work loss days", US_national_yearly!$D:$AM, 10, FALSE), 1)</f>
        <v>4.4009004961920685E-3</v>
      </c>
      <c r="O15" s="7">
        <f>$B15 * IFERROR(VLOOKUP("buildings|NOx|Work loss days", US_national_yearly!$D:$AM, 23, FALSE) / VLOOKUP("buildings|NOx|Work loss days", US_national_yearly!$D:$AM, 10, FALSE), 1)</f>
        <v>4.4297313090378865E-3</v>
      </c>
      <c r="P15" s="7">
        <f>$B15 * IFERROR(VLOOKUP("buildings|NOx|Work loss days", US_national_yearly!$D:$AM, 24, FALSE) / VLOOKUP("buildings|NOx|Work loss days", US_national_yearly!$D:$AM, 10, FALSE), 1)</f>
        <v>4.4585621218837046E-3</v>
      </c>
      <c r="Q15" s="7">
        <f>$B15 * IFERROR(VLOOKUP("buildings|NOx|Work loss days", US_national_yearly!$D:$AM, 25, FALSE) / VLOOKUP("buildings|NOx|Work loss days", US_national_yearly!$D:$AM, 10, FALSE), 1)</f>
        <v>4.4873929347295236E-3</v>
      </c>
      <c r="R15" s="7">
        <f>$B15 * IFERROR(VLOOKUP("buildings|NOx|Work loss days", US_national_yearly!$D:$AM, 26, FALSE) / VLOOKUP("buildings|NOx|Work loss days", US_national_yearly!$D:$AM, 10, FALSE), 1)</f>
        <v>4.5162237475753417E-3</v>
      </c>
      <c r="S15" s="7">
        <f>$B15 * IFERROR(VLOOKUP("buildings|NOx|Work loss days", US_national_yearly!$D:$AM, 27, FALSE) / VLOOKUP("buildings|NOx|Work loss days", US_national_yearly!$D:$AM, 10, FALSE), 1)</f>
        <v>4.5483506359302655E-3</v>
      </c>
      <c r="T15" s="7">
        <f>$B15 * IFERROR(VLOOKUP("buildings|NOx|Work loss days", US_national_yearly!$D:$AM, 28, FALSE) / VLOOKUP("buildings|NOx|Work loss days", US_national_yearly!$D:$AM, 10, FALSE), 1)</f>
        <v>4.5804775242851902E-3</v>
      </c>
      <c r="U15" s="7">
        <f>$B15 * IFERROR(VLOOKUP("buildings|NOx|Work loss days", US_national_yearly!$D:$AM, 29, FALSE) / VLOOKUP("buildings|NOx|Work loss days", US_national_yearly!$D:$AM, 10, FALSE), 1)</f>
        <v>4.6126044126401141E-3</v>
      </c>
      <c r="V15" s="7">
        <f>$B15 * IFERROR(VLOOKUP("buildings|NOx|Work loss days", US_national_yearly!$D:$AM, 30, FALSE) / VLOOKUP("buildings|NOx|Work loss days", US_national_yearly!$D:$AM, 10, FALSE), 1)</f>
        <v>4.644731300995038E-3</v>
      </c>
      <c r="W15" s="7">
        <f>$B15 * IFERROR(VLOOKUP("buildings|NOx|Work loss days", US_national_yearly!$D:$AM, 31, FALSE) / VLOOKUP("buildings|NOx|Work loss days", US_national_yearly!$D:$AM, 10, FALSE), 1)</f>
        <v>4.6768581893499618E-3</v>
      </c>
      <c r="X15" s="7">
        <f>$B15 * IFERROR(VLOOKUP("buildings|NOx|Work loss days", US_national_yearly!$D:$AM, 32, FALSE) / VLOOKUP("buildings|NOx|Work loss days", US_national_yearly!$D:$AM, 10, FALSE), 1)</f>
        <v>4.7047510409450287E-3</v>
      </c>
      <c r="Y15" s="7">
        <f>$B15 * IFERROR(VLOOKUP("buildings|NOx|Work loss days", US_national_yearly!$D:$AM, 33, FALSE) / VLOOKUP("buildings|NOx|Work loss days", US_national_yearly!$D:$AM, 10, FALSE), 1)</f>
        <v>4.7326438925400956E-3</v>
      </c>
      <c r="Z15" s="7">
        <f>$B15 * IFERROR(VLOOKUP("buildings|NOx|Work loss days", US_national_yearly!$D:$AM, 34, FALSE) / VLOOKUP("buildings|NOx|Work loss days", US_national_yearly!$D:$AM, 10, FALSE), 1)</f>
        <v>4.7605367441351616E-3</v>
      </c>
      <c r="AA15" s="7">
        <f>$B15 * IFERROR(VLOOKUP("buildings|NOx|Work loss days", US_national_yearly!$D:$AM, 35, FALSE) / VLOOKUP("buildings|NOx|Work loss days", US_national_yearly!$D:$AM, 10, FALSE), 1)</f>
        <v>4.7884295957302285E-3</v>
      </c>
      <c r="AB15" s="7">
        <f>$B15 * IFERROR(VLOOKUP("buildings|NOx|Work loss days", US_national_yearly!$D:$AM, 36, FALSE) / VLOOKUP("buildings|NOx|Work loss days", US_national_yearly!$D:$AM, 10, FALSE), 1)</f>
        <v>4.8163224473252953E-3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5.5231589972492362E-6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5.6855403625518874E-6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5.8479217278545394E-6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6.0103030931571906E-6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6.1726844584598419E-6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6.3269438021701213E-6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6.4812031458804016E-6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6.6109971535599608E-6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6.7407911612395201E-6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6.8705851689190785E-6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7.0003791765986369E-6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7.1301731842781945E-6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7.2113637697477449E-6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7.2925543552172927E-6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7.3737449406868423E-6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7.4549355261563918E-6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7.5361261116259397E-6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7.5732244002391582E-6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7.610322688852376E-6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7.6474209774655945E-6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7.6845192660788131E-6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7.7216175546920317E-6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7.7422957661898697E-6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7.7629739776877094E-6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7.7836521891855474E-6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7.8043304006833872E-6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7.8250086121812252E-6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1.0282280951622872E-4</v>
      </c>
      <c r="C2" s="7">
        <f>$B2 * IFERROR(VLOOKUP("buildings|SO2|Premature mortality", US_national_yearly!$D:$AM, 11, FALSE) / VLOOKUP("buildings|SO2|Premature mortality", US_national_yearly!$D:$AM, 10, FALSE), 1)</f>
        <v>1.0412541121316681E-4</v>
      </c>
      <c r="D2" s="7">
        <f>$B2 * IFERROR(VLOOKUP("buildings|SO2|Premature mortality", US_national_yearly!$D:$AM, 12, FALSE) / VLOOKUP("buildings|SO2|Premature mortality", US_national_yearly!$D:$AM, 10, FALSE), 1)</f>
        <v>1.0542801291010488E-4</v>
      </c>
      <c r="E2" s="7">
        <f>$B2 * IFERROR(VLOOKUP("buildings|SO2|Premature mortality", US_national_yearly!$D:$AM, 13, FALSE) / VLOOKUP("buildings|SO2|Premature mortality", US_national_yearly!$D:$AM, 10, FALSE), 1)</f>
        <v>1.0673061460704297E-4</v>
      </c>
      <c r="F2" s="7">
        <f>$B2 * IFERROR(VLOOKUP("buildings|SO2|Premature mortality", US_national_yearly!$D:$AM, 14, FALSE) / VLOOKUP("buildings|SO2|Premature mortality", US_national_yearly!$D:$AM, 10, FALSE), 1)</f>
        <v>1.0803321630398106E-4</v>
      </c>
      <c r="G2" s="7">
        <f>$B2 * IFERROR(VLOOKUP("buildings|SO2|Premature mortality", US_national_yearly!$D:$AM, 15, FALSE) / VLOOKUP("buildings|SO2|Premature mortality", US_national_yearly!$D:$AM, 10, FALSE), 1)</f>
        <v>1.1054306546678071E-4</v>
      </c>
      <c r="H2" s="7">
        <f>$B2 * IFERROR(VLOOKUP("buildings|SO2|Premature mortality", US_national_yearly!$D:$AM, 16, FALSE) / VLOOKUP("buildings|SO2|Premature mortality", US_national_yearly!$D:$AM, 10, FALSE), 1)</f>
        <v>1.1305291462958038E-4</v>
      </c>
      <c r="I2" s="7">
        <f>$B2 * IFERROR(VLOOKUP("buildings|SO2|Premature mortality", US_national_yearly!$D:$AM, 17, FALSE) / VLOOKUP("buildings|SO2|Premature mortality", US_national_yearly!$D:$AM, 10, FALSE), 1)</f>
        <v>1.1471241247986916E-4</v>
      </c>
      <c r="J2" s="7">
        <f>$B2 * IFERROR(VLOOKUP("buildings|SO2|Premature mortality", US_national_yearly!$D:$AM, 18, FALSE) / VLOOKUP("buildings|SO2|Premature mortality", US_national_yearly!$D:$AM, 10, FALSE), 1)</f>
        <v>1.1637191033015792E-4</v>
      </c>
      <c r="K2" s="7">
        <f>$B2 * IFERROR(VLOOKUP("buildings|SO2|Premature mortality", US_national_yearly!$D:$AM, 19, FALSE) / VLOOKUP("buildings|SO2|Premature mortality", US_national_yearly!$D:$AM, 10, FALSE), 1)</f>
        <v>1.180314081804467E-4</v>
      </c>
      <c r="L2" s="7">
        <f>$B2 * IFERROR(VLOOKUP("buildings|SO2|Premature mortality", US_national_yearly!$D:$AM, 20, FALSE) / VLOOKUP("buildings|SO2|Premature mortality", US_national_yearly!$D:$AM, 10, FALSE), 1)</f>
        <v>1.1969090603073545E-4</v>
      </c>
      <c r="M2" s="7">
        <f>$B2 * IFERROR(VLOOKUP("buildings|SO2|Premature mortality", US_national_yearly!$D:$AM, 21, FALSE) / VLOOKUP("buildings|SO2|Premature mortality", US_national_yearly!$D:$AM, 10, FALSE), 1)</f>
        <v>1.2135040388102423E-4</v>
      </c>
      <c r="N2" s="7">
        <f>$B2 * IFERROR(VLOOKUP("buildings|SO2|Premature mortality", US_national_yearly!$D:$AM, 22, FALSE) / VLOOKUP("buildings|SO2|Premature mortality", US_national_yearly!$D:$AM, 10, FALSE), 1)</f>
        <v>1.2264674531060771E-4</v>
      </c>
      <c r="O2" s="7">
        <f>$B2 * IFERROR(VLOOKUP("buildings|SO2|Premature mortality", US_national_yearly!$D:$AM, 23, FALSE) / VLOOKUP("buildings|SO2|Premature mortality", US_national_yearly!$D:$AM, 10, FALSE), 1)</f>
        <v>1.2394308674019115E-4</v>
      </c>
      <c r="P2" s="7">
        <f>$B2 * IFERROR(VLOOKUP("buildings|SO2|Premature mortality", US_national_yearly!$D:$AM, 24, FALSE) / VLOOKUP("buildings|SO2|Premature mortality", US_national_yearly!$D:$AM, 10, FALSE), 1)</f>
        <v>1.2523942816977462E-4</v>
      </c>
      <c r="Q2" s="7">
        <f>$B2 * IFERROR(VLOOKUP("buildings|SO2|Premature mortality", US_national_yearly!$D:$AM, 25, FALSE) / VLOOKUP("buildings|SO2|Premature mortality", US_national_yearly!$D:$AM, 10, FALSE), 1)</f>
        <v>1.2653576959935806E-4</v>
      </c>
      <c r="R2" s="7">
        <f>$B2 * IFERROR(VLOOKUP("buildings|SO2|Premature mortality", US_national_yearly!$D:$AM, 26, FALSE) / VLOOKUP("buildings|SO2|Premature mortality", US_national_yearly!$D:$AM, 10, FALSE), 1)</f>
        <v>1.2783211102894153E-4</v>
      </c>
      <c r="S2" s="7">
        <f>$B2 * IFERROR(VLOOKUP("buildings|SO2|Premature mortality", US_national_yearly!$D:$AM, 27, FALSE) / VLOOKUP("buildings|SO2|Premature mortality", US_national_yearly!$D:$AM, 10, FALSE), 1)</f>
        <v>1.2852592775945641E-4</v>
      </c>
      <c r="T2" s="7">
        <f>$B2 * IFERROR(VLOOKUP("buildings|SO2|Premature mortality", US_national_yearly!$D:$AM, 28, FALSE) / VLOOKUP("buildings|SO2|Premature mortality", US_national_yearly!$D:$AM, 10, FALSE), 1)</f>
        <v>1.292197444899713E-4</v>
      </c>
      <c r="U2" s="7">
        <f>$B2 * IFERROR(VLOOKUP("buildings|SO2|Premature mortality", US_national_yearly!$D:$AM, 29, FALSE) / VLOOKUP("buildings|SO2|Premature mortality", US_national_yearly!$D:$AM, 10, FALSE), 1)</f>
        <v>1.2991356122048615E-4</v>
      </c>
      <c r="V2" s="7">
        <f>$B2 * IFERROR(VLOOKUP("buildings|SO2|Premature mortality", US_national_yearly!$D:$AM, 30, FALSE) / VLOOKUP("buildings|SO2|Premature mortality", US_national_yearly!$D:$AM, 10, FALSE), 1)</f>
        <v>1.3060737795100104E-4</v>
      </c>
      <c r="W2" s="7">
        <f>$B2 * IFERROR(VLOOKUP("buildings|SO2|Premature mortality", US_national_yearly!$D:$AM, 31, FALSE) / VLOOKUP("buildings|SO2|Premature mortality", US_national_yearly!$D:$AM, 10, FALSE), 1)</f>
        <v>1.3130119468151593E-4</v>
      </c>
      <c r="X2" s="7">
        <f>$B2 * IFERROR(VLOOKUP("buildings|SO2|Premature mortality", US_national_yearly!$D:$AM, 32, FALSE) / VLOOKUP("buildings|SO2|Premature mortality", US_national_yearly!$D:$AM, 10, FALSE), 1)</f>
        <v>1.3144139072868207E-4</v>
      </c>
      <c r="Y2" s="7">
        <f>$B2 * IFERROR(VLOOKUP("buildings|SO2|Premature mortality", US_national_yearly!$D:$AM, 33, FALSE) / VLOOKUP("buildings|SO2|Premature mortality", US_national_yearly!$D:$AM, 10, FALSE), 1)</f>
        <v>1.3158158677584818E-4</v>
      </c>
      <c r="Z2" s="7">
        <f>$B2 * IFERROR(VLOOKUP("buildings|SO2|Premature mortality", US_national_yearly!$D:$AM, 34, FALSE) / VLOOKUP("buildings|SO2|Premature mortality", US_national_yearly!$D:$AM, 10, FALSE), 1)</f>
        <v>1.3172178282301429E-4</v>
      </c>
      <c r="AA2" s="7">
        <f>$B2 * IFERROR(VLOOKUP("buildings|SO2|Premature mortality", US_national_yearly!$D:$AM, 35, FALSE) / VLOOKUP("buildings|SO2|Premature mortality", US_national_yearly!$D:$AM, 10, FALSE), 1)</f>
        <v>1.3186197887018043E-4</v>
      </c>
      <c r="AB2" s="7">
        <f>$B2 * IFERROR(VLOOKUP("buildings|SO2|Premature mortality", US_national_yearly!$D:$AM, 36, FALSE) / VLOOKUP("buildings|SO2|Premature mortality", US_national_yearly!$D:$AM, 10, FALSE), 1)</f>
        <v>1.3200217491734657E-4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2.4679972966209716E-7</v>
      </c>
      <c r="C3" s="7">
        <f>$B3 * IFERROR(VLOOKUP("buildings|SO2|Infant mortality", US_national_yearly!$D:$AM, 11, FALSE) / VLOOKUP("buildings|SO2|Infant mortality", US_national_yearly!$D:$AM, 10, FALSE), 1)</f>
        <v>2.4468430868141837E-7</v>
      </c>
      <c r="D3" s="7">
        <f>$B3 * IFERROR(VLOOKUP("buildings|SO2|Infant mortality", US_national_yearly!$D:$AM, 12, FALSE) / VLOOKUP("buildings|SO2|Infant mortality", US_national_yearly!$D:$AM, 10, FALSE), 1)</f>
        <v>2.4256888770073958E-7</v>
      </c>
      <c r="E3" s="7">
        <f>$B3 * IFERROR(VLOOKUP("buildings|SO2|Infant mortality", US_national_yearly!$D:$AM, 13, FALSE) / VLOOKUP("buildings|SO2|Infant mortality", US_national_yearly!$D:$AM, 10, FALSE), 1)</f>
        <v>2.4045346672006079E-7</v>
      </c>
      <c r="F3" s="7">
        <f>$B3 * IFERROR(VLOOKUP("buildings|SO2|Infant mortality", US_national_yearly!$D:$AM, 14, FALSE) / VLOOKUP("buildings|SO2|Infant mortality", US_national_yearly!$D:$AM, 10, FALSE), 1)</f>
        <v>2.3833804573938203E-7</v>
      </c>
      <c r="G3" s="7">
        <f>$B3 * IFERROR(VLOOKUP("buildings|SO2|Infant mortality", US_national_yearly!$D:$AM, 15, FALSE) / VLOOKUP("buildings|SO2|Infant mortality", US_national_yearly!$D:$AM, 10, FALSE), 1)</f>
        <v>1.5872369628523122E-7</v>
      </c>
      <c r="H3" s="7">
        <f>$B3 * IFERROR(VLOOKUP("buildings|SO2|Infant mortality", US_national_yearly!$D:$AM, 16, FALSE) / VLOOKUP("buildings|SO2|Infant mortality", US_national_yearly!$D:$AM, 10, FALSE), 1)</f>
        <v>7.9109346831080427E-8</v>
      </c>
      <c r="I3" s="7">
        <f>$B3 * IFERROR(VLOOKUP("buildings|SO2|Infant mortality", US_national_yearly!$D:$AM, 17, FALSE) / VLOOKUP("buildings|SO2|Infant mortality", US_national_yearly!$D:$AM, 10, FALSE), 1)</f>
        <v>7.8613006053019854E-8</v>
      </c>
      <c r="J3" s="7">
        <f>$B3 * IFERROR(VLOOKUP("buildings|SO2|Infant mortality", US_national_yearly!$D:$AM, 18, FALSE) / VLOOKUP("buildings|SO2|Infant mortality", US_national_yearly!$D:$AM, 10, FALSE), 1)</f>
        <v>7.8116665274959269E-8</v>
      </c>
      <c r="K3" s="7">
        <f>$B3 * IFERROR(VLOOKUP("buildings|SO2|Infant mortality", US_national_yearly!$D:$AM, 19, FALSE) / VLOOKUP("buildings|SO2|Infant mortality", US_national_yearly!$D:$AM, 10, FALSE), 1)</f>
        <v>7.7620324496898684E-8</v>
      </c>
      <c r="L3" s="7">
        <f>$B3 * IFERROR(VLOOKUP("buildings|SO2|Infant mortality", US_national_yearly!$D:$AM, 20, FALSE) / VLOOKUP("buildings|SO2|Infant mortality", US_national_yearly!$D:$AM, 10, FALSE), 1)</f>
        <v>7.7123983718838098E-8</v>
      </c>
      <c r="M3" s="7">
        <f>$B3 * IFERROR(VLOOKUP("buildings|SO2|Infant mortality", US_national_yearly!$D:$AM, 21, FALSE) / VLOOKUP("buildings|SO2|Infant mortality", US_national_yearly!$D:$AM, 10, FALSE), 1)</f>
        <v>7.6627642940777526E-8</v>
      </c>
      <c r="N3" s="7">
        <f>$B3 * IFERROR(VLOOKUP("buildings|SO2|Infant mortality", US_national_yearly!$D:$AM, 22, FALSE) / VLOOKUP("buildings|SO2|Infant mortality", US_national_yearly!$D:$AM, 10, FALSE), 1)</f>
        <v>7.6316490000218889E-8</v>
      </c>
      <c r="O3" s="7">
        <f>$B3 * IFERROR(VLOOKUP("buildings|SO2|Infant mortality", US_national_yearly!$D:$AM, 23, FALSE) / VLOOKUP("buildings|SO2|Infant mortality", US_national_yearly!$D:$AM, 10, FALSE), 1)</f>
        <v>7.6005337059660239E-8</v>
      </c>
      <c r="P3" s="7">
        <f>$B3 * IFERROR(VLOOKUP("buildings|SO2|Infant mortality", US_national_yearly!$D:$AM, 24, FALSE) / VLOOKUP("buildings|SO2|Infant mortality", US_national_yearly!$D:$AM, 10, FALSE), 1)</f>
        <v>7.5694184119101602E-8</v>
      </c>
      <c r="Q3" s="7">
        <f>$B3 * IFERROR(VLOOKUP("buildings|SO2|Infant mortality", US_national_yearly!$D:$AM, 25, FALSE) / VLOOKUP("buildings|SO2|Infant mortality", US_national_yearly!$D:$AM, 10, FALSE), 1)</f>
        <v>7.5383031178542965E-8</v>
      </c>
      <c r="R3" s="7">
        <f>$B3 * IFERROR(VLOOKUP("buildings|SO2|Infant mortality", US_national_yearly!$D:$AM, 26, FALSE) / VLOOKUP("buildings|SO2|Infant mortality", US_national_yearly!$D:$AM, 10, FALSE), 1)</f>
        <v>7.5071878237984315E-8</v>
      </c>
      <c r="S3" s="7">
        <f>$B3 * IFERROR(VLOOKUP("buildings|SO2|Infant mortality", US_national_yearly!$D:$AM, 27, FALSE) / VLOOKUP("buildings|SO2|Infant mortality", US_national_yearly!$D:$AM, 10, FALSE), 1)</f>
        <v>7.4681168789769887E-8</v>
      </c>
      <c r="T3" s="7">
        <f>$B3 * IFERROR(VLOOKUP("buildings|SO2|Infant mortality", US_national_yearly!$D:$AM, 28, FALSE) / VLOOKUP("buildings|SO2|Infant mortality", US_national_yearly!$D:$AM, 10, FALSE), 1)</f>
        <v>7.4290459341555444E-8</v>
      </c>
      <c r="U3" s="7">
        <f>$B3 * IFERROR(VLOOKUP("buildings|SO2|Infant mortality", US_national_yearly!$D:$AM, 29, FALSE) / VLOOKUP("buildings|SO2|Infant mortality", US_national_yearly!$D:$AM, 10, FALSE), 1)</f>
        <v>7.3899749893341002E-8</v>
      </c>
      <c r="V3" s="7">
        <f>$B3 * IFERROR(VLOOKUP("buildings|SO2|Infant mortality", US_national_yearly!$D:$AM, 30, FALSE) / VLOOKUP("buildings|SO2|Infant mortality", US_national_yearly!$D:$AM, 10, FALSE), 1)</f>
        <v>7.350904044512656E-8</v>
      </c>
      <c r="W3" s="7">
        <f>$B3 * IFERROR(VLOOKUP("buildings|SO2|Infant mortality", US_national_yearly!$D:$AM, 31, FALSE) / VLOOKUP("buildings|SO2|Infant mortality", US_national_yearly!$D:$AM, 10, FALSE), 1)</f>
        <v>7.3118330996912118E-8</v>
      </c>
      <c r="X3" s="7">
        <f>$B3 * IFERROR(VLOOKUP("buildings|SO2|Infant mortality", US_national_yearly!$D:$AM, 32, FALSE) / VLOOKUP("buildings|SO2|Infant mortality", US_national_yearly!$D:$AM, 10, FALSE), 1)</f>
        <v>7.2691614370933147E-8</v>
      </c>
      <c r="Y3" s="7">
        <f>$B3 * IFERROR(VLOOKUP("buildings|SO2|Infant mortality", US_national_yearly!$D:$AM, 33, FALSE) / VLOOKUP("buildings|SO2|Infant mortality", US_national_yearly!$D:$AM, 10, FALSE), 1)</f>
        <v>7.2264897744954164E-8</v>
      </c>
      <c r="Z3" s="7">
        <f>$B3 * IFERROR(VLOOKUP("buildings|SO2|Infant mortality", US_national_yearly!$D:$AM, 34, FALSE) / VLOOKUP("buildings|SO2|Infant mortality", US_national_yearly!$D:$AM, 10, FALSE), 1)</f>
        <v>7.1838181118975193E-8</v>
      </c>
      <c r="AA3" s="7">
        <f>$B3 * IFERROR(VLOOKUP("buildings|SO2|Infant mortality", US_national_yearly!$D:$AM, 35, FALSE) / VLOOKUP("buildings|SO2|Infant mortality", US_national_yearly!$D:$AM, 10, FALSE), 1)</f>
        <v>7.1411464492996196E-8</v>
      </c>
      <c r="AB3" s="7">
        <f>$B3 * IFERROR(VLOOKUP("buildings|SO2|Infant mortality", US_national_yearly!$D:$AM, 36, FALSE) / VLOOKUP("buildings|SO2|Infant mortality", US_national_yearly!$D:$AM, 10, FALSE), 1)</f>
        <v>7.0984747867017239E-8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2.9537590444907885E-4</v>
      </c>
      <c r="C6" s="7">
        <f>$B6 * IFERROR(VLOOKUP("buildings|SO2|Asthma symptoms cough", US_national_yearly!$D:$AM, 11, FALSE) / VLOOKUP("buildings|SO2|Asthma symptoms cough", US_national_yearly!$D:$AM, 10, FALSE), 1)</f>
        <v>2.9537590444907885E-4</v>
      </c>
      <c r="D6" s="7">
        <f>$B6 * IFERROR(VLOOKUP("buildings|SO2|Asthma symptoms cough", US_national_yearly!$D:$AM, 12, FALSE) / VLOOKUP("buildings|SO2|Asthma symptoms cough", US_national_yearly!$D:$AM, 10, FALSE), 1)</f>
        <v>2.9537590444907885E-4</v>
      </c>
      <c r="E6" s="7">
        <f>$B6 * IFERROR(VLOOKUP("buildings|SO2|Asthma symptoms cough", US_national_yearly!$D:$AM, 13, FALSE) / VLOOKUP("buildings|SO2|Asthma symptoms cough", US_national_yearly!$D:$AM, 10, FALSE), 1)</f>
        <v>2.9537590444907885E-4</v>
      </c>
      <c r="F6" s="7">
        <f>$B6 * IFERROR(VLOOKUP("buildings|SO2|Asthma symptoms cough", US_national_yearly!$D:$AM, 14, FALSE) / VLOOKUP("buildings|SO2|Asthma symptoms cough", US_national_yearly!$D:$AM, 10, FALSE), 1)</f>
        <v>2.9537590444907885E-4</v>
      </c>
      <c r="G6" s="7">
        <f>$B6 * IFERROR(VLOOKUP("buildings|SO2|Asthma symptoms cough", US_national_yearly!$D:$AM, 15, FALSE) / VLOOKUP("buildings|SO2|Asthma symptoms cough", US_national_yearly!$D:$AM, 10, FALSE), 1)</f>
        <v>2.9537590444907885E-4</v>
      </c>
      <c r="H6" s="7">
        <f>$B6 * IFERROR(VLOOKUP("buildings|SO2|Asthma symptoms cough", US_national_yearly!$D:$AM, 16, FALSE) / VLOOKUP("buildings|SO2|Asthma symptoms cough", US_national_yearly!$D:$AM, 10, FALSE), 1)</f>
        <v>2.9537590444907885E-4</v>
      </c>
      <c r="I6" s="7">
        <f>$B6 * IFERROR(VLOOKUP("buildings|SO2|Asthma symptoms cough", US_national_yearly!$D:$AM, 17, FALSE) / VLOOKUP("buildings|SO2|Asthma symptoms cough", US_national_yearly!$D:$AM, 10, FALSE), 1)</f>
        <v>2.9537590444907885E-4</v>
      </c>
      <c r="J6" s="7">
        <f>$B6 * IFERROR(VLOOKUP("buildings|SO2|Asthma symptoms cough", US_national_yearly!$D:$AM, 18, FALSE) / VLOOKUP("buildings|SO2|Asthma symptoms cough", US_national_yearly!$D:$AM, 10, FALSE), 1)</f>
        <v>2.9537590444907885E-4</v>
      </c>
      <c r="K6" s="7">
        <f>$B6 * IFERROR(VLOOKUP("buildings|SO2|Asthma symptoms cough", US_national_yearly!$D:$AM, 19, FALSE) / VLOOKUP("buildings|SO2|Asthma symptoms cough", US_national_yearly!$D:$AM, 10, FALSE), 1)</f>
        <v>2.9537590444907885E-4</v>
      </c>
      <c r="L6" s="7">
        <f>$B6 * IFERROR(VLOOKUP("buildings|SO2|Asthma symptoms cough", US_national_yearly!$D:$AM, 20, FALSE) / VLOOKUP("buildings|SO2|Asthma symptoms cough", US_national_yearly!$D:$AM, 10, FALSE), 1)</f>
        <v>2.9537590444907885E-4</v>
      </c>
      <c r="M6" s="7">
        <f>$B6 * IFERROR(VLOOKUP("buildings|SO2|Asthma symptoms cough", US_national_yearly!$D:$AM, 21, FALSE) / VLOOKUP("buildings|SO2|Asthma symptoms cough", US_national_yearly!$D:$AM, 10, FALSE), 1)</f>
        <v>2.9537590444907885E-4</v>
      </c>
      <c r="N6" s="7">
        <f>$B6 * IFERROR(VLOOKUP("buildings|SO2|Asthma symptoms cough", US_national_yearly!$D:$AM, 22, FALSE) / VLOOKUP("buildings|SO2|Asthma symptoms cough", US_national_yearly!$D:$AM, 10, FALSE), 1)</f>
        <v>2.9537590444907885E-4</v>
      </c>
      <c r="O6" s="7">
        <f>$B6 * IFERROR(VLOOKUP("buildings|SO2|Asthma symptoms cough", US_national_yearly!$D:$AM, 23, FALSE) / VLOOKUP("buildings|SO2|Asthma symptoms cough", US_national_yearly!$D:$AM, 10, FALSE), 1)</f>
        <v>2.9537590444907885E-4</v>
      </c>
      <c r="P6" s="7">
        <f>$B6 * IFERROR(VLOOKUP("buildings|SO2|Asthma symptoms cough", US_national_yearly!$D:$AM, 24, FALSE) / VLOOKUP("buildings|SO2|Asthma symptoms cough", US_national_yearly!$D:$AM, 10, FALSE), 1)</f>
        <v>2.9537590444907885E-4</v>
      </c>
      <c r="Q6" s="7">
        <f>$B6 * IFERROR(VLOOKUP("buildings|SO2|Asthma symptoms cough", US_national_yearly!$D:$AM, 25, FALSE) / VLOOKUP("buildings|SO2|Asthma symptoms cough", US_national_yearly!$D:$AM, 10, FALSE), 1)</f>
        <v>2.9537590444907885E-4</v>
      </c>
      <c r="R6" s="7">
        <f>$B6 * IFERROR(VLOOKUP("buildings|SO2|Asthma symptoms cough", US_national_yearly!$D:$AM, 26, FALSE) / VLOOKUP("buildings|SO2|Asthma symptoms cough", US_national_yearly!$D:$AM, 10, FALSE), 1)</f>
        <v>2.9537590444907885E-4</v>
      </c>
      <c r="S6" s="7">
        <f>$B6 * IFERROR(VLOOKUP("buildings|SO2|Asthma symptoms cough", US_national_yearly!$D:$AM, 27, FALSE) / VLOOKUP("buildings|SO2|Asthma symptoms cough", US_national_yearly!$D:$AM, 10, FALSE), 1)</f>
        <v>2.9537590444907885E-4</v>
      </c>
      <c r="T6" s="7">
        <f>$B6 * IFERROR(VLOOKUP("buildings|SO2|Asthma symptoms cough", US_national_yearly!$D:$AM, 28, FALSE) / VLOOKUP("buildings|SO2|Asthma symptoms cough", US_national_yearly!$D:$AM, 10, FALSE), 1)</f>
        <v>2.9537590444907885E-4</v>
      </c>
      <c r="U6" s="7">
        <f>$B6 * IFERROR(VLOOKUP("buildings|SO2|Asthma symptoms cough", US_national_yearly!$D:$AM, 29, FALSE) / VLOOKUP("buildings|SO2|Asthma symptoms cough", US_national_yearly!$D:$AM, 10, FALSE), 1)</f>
        <v>2.9537590444907885E-4</v>
      </c>
      <c r="V6" s="7">
        <f>$B6 * IFERROR(VLOOKUP("buildings|SO2|Asthma symptoms cough", US_national_yearly!$D:$AM, 30, FALSE) / VLOOKUP("buildings|SO2|Asthma symptoms cough", US_national_yearly!$D:$AM, 10, FALSE), 1)</f>
        <v>2.9537590444907885E-4</v>
      </c>
      <c r="W6" s="7">
        <f>$B6 * IFERROR(VLOOKUP("buildings|SO2|Asthma symptoms cough", US_national_yearly!$D:$AM, 31, FALSE) / VLOOKUP("buildings|SO2|Asthma symptoms cough", US_national_yearly!$D:$AM, 10, FALSE), 1)</f>
        <v>2.9537590444907885E-4</v>
      </c>
      <c r="X6" s="7">
        <f>$B6 * IFERROR(VLOOKUP("buildings|SO2|Asthma symptoms cough", US_national_yearly!$D:$AM, 32, FALSE) / VLOOKUP("buildings|SO2|Asthma symptoms cough", US_national_yearly!$D:$AM, 10, FALSE), 1)</f>
        <v>2.9537590444907885E-4</v>
      </c>
      <c r="Y6" s="7">
        <f>$B6 * IFERROR(VLOOKUP("buildings|SO2|Asthma symptoms cough", US_national_yearly!$D:$AM, 33, FALSE) / VLOOKUP("buildings|SO2|Asthma symptoms cough", US_national_yearly!$D:$AM, 10, FALSE), 1)</f>
        <v>2.9537590444907885E-4</v>
      </c>
      <c r="Z6" s="7">
        <f>$B6 * IFERROR(VLOOKUP("buildings|SO2|Asthma symptoms cough", US_national_yearly!$D:$AM, 34, FALSE) / VLOOKUP("buildings|SO2|Asthma symptoms cough", US_national_yearly!$D:$AM, 10, FALSE), 1)</f>
        <v>2.9537590444907885E-4</v>
      </c>
      <c r="AA6" s="7">
        <f>$B6 * IFERROR(VLOOKUP("buildings|SO2|Asthma symptoms cough", US_national_yearly!$D:$AM, 35, FALSE) / VLOOKUP("buildings|SO2|Asthma symptoms cough", US_national_yearly!$D:$AM, 10, FALSE), 1)</f>
        <v>2.9537590444907885E-4</v>
      </c>
      <c r="AB6" s="7">
        <f>$B6 * IFERROR(VLOOKUP("buildings|SO2|Asthma symptoms cough", US_national_yearly!$D:$AM, 36, FALSE) / VLOOKUP("buildings|SO2|Asthma symptoms cough", US_national_yearly!$D:$AM, 10, FALSE), 1)</f>
        <v>2.9537590444907885E-4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3.977670282845553E-4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3.977670282845553E-4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3.977670282845553E-4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3.977670282845553E-4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3.977670282845553E-4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3.977670282845553E-4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3.977670282845553E-4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3.977670282845553E-4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3.977670282845553E-4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3.977670282845553E-4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3.977670282845553E-4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3.977670282845553E-4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3.977670282845553E-4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3.977670282845553E-4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3.977670282845553E-4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3.977670282845553E-4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3.977670282845553E-4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3.977670282845553E-4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3.977670282845553E-4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3.977670282845553E-4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3.977670282845553E-4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3.977670282845553E-4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3.977670282845553E-4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3.977670282845553E-4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3.977670282845553E-4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3.977670282845553E-4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3.977670282845553E-4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6.0771885098267369E-4</v>
      </c>
      <c r="C8" s="7">
        <f>$B8 * IFERROR(VLOOKUP("buildings|SO2|Asthma symptoms wheeze", US_national_yearly!$D:$AM, 11, FALSE) / VLOOKUP("buildings|SO2|Asthma symptoms wheeze", US_national_yearly!$D:$AM, 10, FALSE), 1)</f>
        <v>6.0771885098267369E-4</v>
      </c>
      <c r="D8" s="7">
        <f>$B8 * IFERROR(VLOOKUP("buildings|SO2|Asthma symptoms wheeze", US_national_yearly!$D:$AM, 12, FALSE) / VLOOKUP("buildings|SO2|Asthma symptoms wheeze", US_national_yearly!$D:$AM, 10, FALSE), 1)</f>
        <v>6.0771885098267369E-4</v>
      </c>
      <c r="E8" s="7">
        <f>$B8 * IFERROR(VLOOKUP("buildings|SO2|Asthma symptoms wheeze", US_national_yearly!$D:$AM, 13, FALSE) / VLOOKUP("buildings|SO2|Asthma symptoms wheeze", US_national_yearly!$D:$AM, 10, FALSE), 1)</f>
        <v>6.0771885098267369E-4</v>
      </c>
      <c r="F8" s="7">
        <f>$B8 * IFERROR(VLOOKUP("buildings|SO2|Asthma symptoms wheeze", US_national_yearly!$D:$AM, 14, FALSE) / VLOOKUP("buildings|SO2|Asthma symptoms wheeze", US_national_yearly!$D:$AM, 10, FALSE), 1)</f>
        <v>6.0771885098267369E-4</v>
      </c>
      <c r="G8" s="7">
        <f>$B8 * IFERROR(VLOOKUP("buildings|SO2|Asthma symptoms wheeze", US_national_yearly!$D:$AM, 15, FALSE) / VLOOKUP("buildings|SO2|Asthma symptoms wheeze", US_national_yearly!$D:$AM, 10, FALSE), 1)</f>
        <v>6.0771885098267369E-4</v>
      </c>
      <c r="H8" s="7">
        <f>$B8 * IFERROR(VLOOKUP("buildings|SO2|Asthma symptoms wheeze", US_national_yearly!$D:$AM, 16, FALSE) / VLOOKUP("buildings|SO2|Asthma symptoms wheeze", US_national_yearly!$D:$AM, 10, FALSE), 1)</f>
        <v>6.0771885098267369E-4</v>
      </c>
      <c r="I8" s="7">
        <f>$B8 * IFERROR(VLOOKUP("buildings|SO2|Asthma symptoms wheeze", US_national_yearly!$D:$AM, 17, FALSE) / VLOOKUP("buildings|SO2|Asthma symptoms wheeze", US_national_yearly!$D:$AM, 10, FALSE), 1)</f>
        <v>6.0771885098267369E-4</v>
      </c>
      <c r="J8" s="7">
        <f>$B8 * IFERROR(VLOOKUP("buildings|SO2|Asthma symptoms wheeze", US_national_yearly!$D:$AM, 18, FALSE) / VLOOKUP("buildings|SO2|Asthma symptoms wheeze", US_national_yearly!$D:$AM, 10, FALSE), 1)</f>
        <v>6.0771885098267369E-4</v>
      </c>
      <c r="K8" s="7">
        <f>$B8 * IFERROR(VLOOKUP("buildings|SO2|Asthma symptoms wheeze", US_national_yearly!$D:$AM, 19, FALSE) / VLOOKUP("buildings|SO2|Asthma symptoms wheeze", US_national_yearly!$D:$AM, 10, FALSE), 1)</f>
        <v>6.0771885098267369E-4</v>
      </c>
      <c r="L8" s="7">
        <f>$B8 * IFERROR(VLOOKUP("buildings|SO2|Asthma symptoms wheeze", US_national_yearly!$D:$AM, 20, FALSE) / VLOOKUP("buildings|SO2|Asthma symptoms wheeze", US_national_yearly!$D:$AM, 10, FALSE), 1)</f>
        <v>6.0771885098267369E-4</v>
      </c>
      <c r="M8" s="7">
        <f>$B8 * IFERROR(VLOOKUP("buildings|SO2|Asthma symptoms wheeze", US_national_yearly!$D:$AM, 21, FALSE) / VLOOKUP("buildings|SO2|Asthma symptoms wheeze", US_national_yearly!$D:$AM, 10, FALSE), 1)</f>
        <v>6.0771885098267369E-4</v>
      </c>
      <c r="N8" s="7">
        <f>$B8 * IFERROR(VLOOKUP("buildings|SO2|Asthma symptoms wheeze", US_national_yearly!$D:$AM, 22, FALSE) / VLOOKUP("buildings|SO2|Asthma symptoms wheeze", US_national_yearly!$D:$AM, 10, FALSE), 1)</f>
        <v>6.0771885098267369E-4</v>
      </c>
      <c r="O8" s="7">
        <f>$B8 * IFERROR(VLOOKUP("buildings|SO2|Asthma symptoms wheeze", US_national_yearly!$D:$AM, 23, FALSE) / VLOOKUP("buildings|SO2|Asthma symptoms wheeze", US_national_yearly!$D:$AM, 10, FALSE), 1)</f>
        <v>6.0771885098267369E-4</v>
      </c>
      <c r="P8" s="7">
        <f>$B8 * IFERROR(VLOOKUP("buildings|SO2|Asthma symptoms wheeze", US_national_yearly!$D:$AM, 24, FALSE) / VLOOKUP("buildings|SO2|Asthma symptoms wheeze", US_national_yearly!$D:$AM, 10, FALSE), 1)</f>
        <v>6.0771885098267369E-4</v>
      </c>
      <c r="Q8" s="7">
        <f>$B8 * IFERROR(VLOOKUP("buildings|SO2|Asthma symptoms wheeze", US_national_yearly!$D:$AM, 25, FALSE) / VLOOKUP("buildings|SO2|Asthma symptoms wheeze", US_national_yearly!$D:$AM, 10, FALSE), 1)</f>
        <v>6.0771885098267369E-4</v>
      </c>
      <c r="R8" s="7">
        <f>$B8 * IFERROR(VLOOKUP("buildings|SO2|Asthma symptoms wheeze", US_national_yearly!$D:$AM, 26, FALSE) / VLOOKUP("buildings|SO2|Asthma symptoms wheeze", US_national_yearly!$D:$AM, 10, FALSE), 1)</f>
        <v>6.0771885098267369E-4</v>
      </c>
      <c r="S8" s="7">
        <f>$B8 * IFERROR(VLOOKUP("buildings|SO2|Asthma symptoms wheeze", US_national_yearly!$D:$AM, 27, FALSE) / VLOOKUP("buildings|SO2|Asthma symptoms wheeze", US_national_yearly!$D:$AM, 10, FALSE), 1)</f>
        <v>6.0771885098267369E-4</v>
      </c>
      <c r="T8" s="7">
        <f>$B8 * IFERROR(VLOOKUP("buildings|SO2|Asthma symptoms wheeze", US_national_yearly!$D:$AM, 28, FALSE) / VLOOKUP("buildings|SO2|Asthma symptoms wheeze", US_national_yearly!$D:$AM, 10, FALSE), 1)</f>
        <v>6.0771885098267369E-4</v>
      </c>
      <c r="U8" s="7">
        <f>$B8 * IFERROR(VLOOKUP("buildings|SO2|Asthma symptoms wheeze", US_national_yearly!$D:$AM, 29, FALSE) / VLOOKUP("buildings|SO2|Asthma symptoms wheeze", US_national_yearly!$D:$AM, 10, FALSE), 1)</f>
        <v>6.0771885098267369E-4</v>
      </c>
      <c r="V8" s="7">
        <f>$B8 * IFERROR(VLOOKUP("buildings|SO2|Asthma symptoms wheeze", US_national_yearly!$D:$AM, 30, FALSE) / VLOOKUP("buildings|SO2|Asthma symptoms wheeze", US_national_yearly!$D:$AM, 10, FALSE), 1)</f>
        <v>6.0771885098267369E-4</v>
      </c>
      <c r="W8" s="7">
        <f>$B8 * IFERROR(VLOOKUP("buildings|SO2|Asthma symptoms wheeze", US_national_yearly!$D:$AM, 31, FALSE) / VLOOKUP("buildings|SO2|Asthma symptoms wheeze", US_national_yearly!$D:$AM, 10, FALSE), 1)</f>
        <v>6.0771885098267369E-4</v>
      </c>
      <c r="X8" s="7">
        <f>$B8 * IFERROR(VLOOKUP("buildings|SO2|Asthma symptoms wheeze", US_national_yearly!$D:$AM, 32, FALSE) / VLOOKUP("buildings|SO2|Asthma symptoms wheeze", US_national_yearly!$D:$AM, 10, FALSE), 1)</f>
        <v>6.0771885098267369E-4</v>
      </c>
      <c r="Y8" s="7">
        <f>$B8 * IFERROR(VLOOKUP("buildings|SO2|Asthma symptoms wheeze", US_national_yearly!$D:$AM, 33, FALSE) / VLOOKUP("buildings|SO2|Asthma symptoms wheeze", US_national_yearly!$D:$AM, 10, FALSE), 1)</f>
        <v>6.0771885098267369E-4</v>
      </c>
      <c r="Z8" s="7">
        <f>$B8 * IFERROR(VLOOKUP("buildings|SO2|Asthma symptoms wheeze", US_national_yearly!$D:$AM, 34, FALSE) / VLOOKUP("buildings|SO2|Asthma symptoms wheeze", US_national_yearly!$D:$AM, 10, FALSE), 1)</f>
        <v>6.0771885098267369E-4</v>
      </c>
      <c r="AA8" s="7">
        <f>$B8 * IFERROR(VLOOKUP("buildings|SO2|Asthma symptoms wheeze", US_national_yearly!$D:$AM, 35, FALSE) / VLOOKUP("buildings|SO2|Asthma symptoms wheeze", US_national_yearly!$D:$AM, 10, FALSE), 1)</f>
        <v>6.0771885098267369E-4</v>
      </c>
      <c r="AB8" s="7">
        <f>$B8 * IFERROR(VLOOKUP("buildings|SO2|Asthma symptoms wheeze", US_national_yearly!$D:$AM, 36, FALSE) / VLOOKUP("buildings|SO2|Asthma symptoms wheeze", US_national_yearly!$D:$AM, 10, FALSE), 1)</f>
        <v>6.0771885098267369E-4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6.6410835009262997E-6</v>
      </c>
      <c r="C12" s="7">
        <f>$B12 * IFERROR(VLOOKUP("buildings|SO2|Respiratory hospital admissions", US_national_yearly!$D:$AM, 11, FALSE) / VLOOKUP("buildings|SO2|Respiratory hospital admissions", US_national_yearly!$D:$AM, 10, FALSE), 1)</f>
        <v>6.6803082837526276E-6</v>
      </c>
      <c r="D12" s="7">
        <f>$B12 * IFERROR(VLOOKUP("buildings|SO2|Respiratory hospital admissions", US_national_yearly!$D:$AM, 12, FALSE) / VLOOKUP("buildings|SO2|Respiratory hospital admissions", US_national_yearly!$D:$AM, 10, FALSE), 1)</f>
        <v>6.7195330665789564E-6</v>
      </c>
      <c r="E12" s="7">
        <f>$B12 * IFERROR(VLOOKUP("buildings|SO2|Respiratory hospital admissions", US_national_yearly!$D:$AM, 13, FALSE) / VLOOKUP("buildings|SO2|Respiratory hospital admissions", US_national_yearly!$D:$AM, 10, FALSE), 1)</f>
        <v>6.7587578494052844E-6</v>
      </c>
      <c r="F12" s="7">
        <f>$B12 * IFERROR(VLOOKUP("buildings|SO2|Respiratory hospital admissions", US_national_yearly!$D:$AM, 14, FALSE) / VLOOKUP("buildings|SO2|Respiratory hospital admissions", US_national_yearly!$D:$AM, 10, FALSE), 1)</f>
        <v>6.7979826322316115E-6</v>
      </c>
      <c r="G12" s="7">
        <f>$B12 * IFERROR(VLOOKUP("buildings|SO2|Respiratory hospital admissions", US_national_yearly!$D:$AM, 15, FALSE) / VLOOKUP("buildings|SO2|Respiratory hospital admissions", US_national_yearly!$D:$AM, 10, FALSE), 1)</f>
        <v>6.8407327037388289E-6</v>
      </c>
      <c r="H12" s="7">
        <f>$B12 * IFERROR(VLOOKUP("buildings|SO2|Respiratory hospital admissions", US_national_yearly!$D:$AM, 16, FALSE) / VLOOKUP("buildings|SO2|Respiratory hospital admissions", US_national_yearly!$D:$AM, 10, FALSE), 1)</f>
        <v>6.8834827752460463E-6</v>
      </c>
      <c r="I12" s="7">
        <f>$B12 * IFERROR(VLOOKUP("buildings|SO2|Respiratory hospital admissions", US_national_yearly!$D:$AM, 17, FALSE) / VLOOKUP("buildings|SO2|Respiratory hospital admissions", US_national_yearly!$D:$AM, 10, FALSE), 1)</f>
        <v>6.9255535618058966E-6</v>
      </c>
      <c r="J12" s="7">
        <f>$B12 * IFERROR(VLOOKUP("buildings|SO2|Respiratory hospital admissions", US_national_yearly!$D:$AM, 18, FALSE) / VLOOKUP("buildings|SO2|Respiratory hospital admissions", US_national_yearly!$D:$AM, 10, FALSE), 1)</f>
        <v>6.9676243483657478E-6</v>
      </c>
      <c r="K12" s="7">
        <f>$B12 * IFERROR(VLOOKUP("buildings|SO2|Respiratory hospital admissions", US_national_yearly!$D:$AM, 19, FALSE) / VLOOKUP("buildings|SO2|Respiratory hospital admissions", US_national_yearly!$D:$AM, 10, FALSE), 1)</f>
        <v>7.0096951349255981E-6</v>
      </c>
      <c r="L12" s="7">
        <f>$B12 * IFERROR(VLOOKUP("buildings|SO2|Respiratory hospital admissions", US_national_yearly!$D:$AM, 20, FALSE) / VLOOKUP("buildings|SO2|Respiratory hospital admissions", US_national_yearly!$D:$AM, 10, FALSE), 1)</f>
        <v>7.0517659214854476E-6</v>
      </c>
      <c r="M12" s="7">
        <f>$B12 * IFERROR(VLOOKUP("buildings|SO2|Respiratory hospital admissions", US_national_yearly!$D:$AM, 21, FALSE) / VLOOKUP("buildings|SO2|Respiratory hospital admissions", US_national_yearly!$D:$AM, 10, FALSE), 1)</f>
        <v>7.0938367080452988E-6</v>
      </c>
      <c r="N12" s="7">
        <f>$B12 * IFERROR(VLOOKUP("buildings|SO2|Respiratory hospital admissions", US_national_yearly!$D:$AM, 22, FALSE) / VLOOKUP("buildings|SO2|Respiratory hospital admissions", US_national_yearly!$D:$AM, 10, FALSE), 1)</f>
        <v>7.1245553466635664E-6</v>
      </c>
      <c r="O12" s="7">
        <f>$B12 * IFERROR(VLOOKUP("buildings|SO2|Respiratory hospital admissions", US_national_yearly!$D:$AM, 23, FALSE) / VLOOKUP("buildings|SO2|Respiratory hospital admissions", US_national_yearly!$D:$AM, 10, FALSE), 1)</f>
        <v>7.1552739852818332E-6</v>
      </c>
      <c r="P12" s="7">
        <f>$B12 * IFERROR(VLOOKUP("buildings|SO2|Respiratory hospital admissions", US_national_yearly!$D:$AM, 24, FALSE) / VLOOKUP("buildings|SO2|Respiratory hospital admissions", US_national_yearly!$D:$AM, 10, FALSE), 1)</f>
        <v>7.1859926239001008E-6</v>
      </c>
      <c r="Q12" s="7">
        <f>$B12 * IFERROR(VLOOKUP("buildings|SO2|Respiratory hospital admissions", US_national_yearly!$D:$AM, 25, FALSE) / VLOOKUP("buildings|SO2|Respiratory hospital admissions", US_national_yearly!$D:$AM, 10, FALSE), 1)</f>
        <v>7.2167112625183675E-6</v>
      </c>
      <c r="R12" s="7">
        <f>$B12 * IFERROR(VLOOKUP("buildings|SO2|Respiratory hospital admissions", US_national_yearly!$D:$AM, 26, FALSE) / VLOOKUP("buildings|SO2|Respiratory hospital admissions", US_national_yearly!$D:$AM, 10, FALSE), 1)</f>
        <v>7.2474299011366351E-6</v>
      </c>
      <c r="S12" s="7">
        <f>$B12 * IFERROR(VLOOKUP("buildings|SO2|Respiratory hospital admissions", US_national_yearly!$D:$AM, 27, FALSE) / VLOOKUP("buildings|SO2|Respiratory hospital admissions", US_national_yearly!$D:$AM, 10, FALSE), 1)</f>
        <v>7.2767204836433486E-6</v>
      </c>
      <c r="T12" s="7">
        <f>$B12 * IFERROR(VLOOKUP("buildings|SO2|Respiratory hospital admissions", US_national_yearly!$D:$AM, 28, FALSE) / VLOOKUP("buildings|SO2|Respiratory hospital admissions", US_national_yearly!$D:$AM, 10, FALSE), 1)</f>
        <v>7.3060110661500639E-6</v>
      </c>
      <c r="U12" s="7">
        <f>$B12 * IFERROR(VLOOKUP("buildings|SO2|Respiratory hospital admissions", US_national_yearly!$D:$AM, 29, FALSE) / VLOOKUP("buildings|SO2|Respiratory hospital admissions", US_national_yearly!$D:$AM, 10, FALSE), 1)</f>
        <v>7.3353016486567774E-6</v>
      </c>
      <c r="V12" s="7">
        <f>$B12 * IFERROR(VLOOKUP("buildings|SO2|Respiratory hospital admissions", US_national_yearly!$D:$AM, 30, FALSE) / VLOOKUP("buildings|SO2|Respiratory hospital admissions", US_national_yearly!$D:$AM, 10, FALSE), 1)</f>
        <v>7.364592231163491E-6</v>
      </c>
      <c r="W12" s="7">
        <f>$B12 * IFERROR(VLOOKUP("buildings|SO2|Respiratory hospital admissions", US_national_yearly!$D:$AM, 31, FALSE) / VLOOKUP("buildings|SO2|Respiratory hospital admissions", US_national_yearly!$D:$AM, 10, FALSE), 1)</f>
        <v>7.3938828136702054E-6</v>
      </c>
      <c r="X12" s="7">
        <f>$B12 * IFERROR(VLOOKUP("buildings|SO2|Respiratory hospital admissions", US_national_yearly!$D:$AM, 32, FALSE) / VLOOKUP("buildings|SO2|Respiratory hospital admissions", US_national_yearly!$D:$AM, 10, FALSE), 1)</f>
        <v>7.4217165093670593E-6</v>
      </c>
      <c r="Y12" s="7">
        <f>$B12 * IFERROR(VLOOKUP("buildings|SO2|Respiratory hospital admissions", US_national_yearly!$D:$AM, 33, FALSE) / VLOOKUP("buildings|SO2|Respiratory hospital admissions", US_national_yearly!$D:$AM, 10, FALSE), 1)</f>
        <v>7.4495502050639149E-6</v>
      </c>
      <c r="Z12" s="7">
        <f>$B12 * IFERROR(VLOOKUP("buildings|SO2|Respiratory hospital admissions", US_national_yearly!$D:$AM, 34, FALSE) / VLOOKUP("buildings|SO2|Respiratory hospital admissions", US_national_yearly!$D:$AM, 10, FALSE), 1)</f>
        <v>7.4773839007607688E-6</v>
      </c>
      <c r="AA12" s="7">
        <f>$B12 * IFERROR(VLOOKUP("buildings|SO2|Respiratory hospital admissions", US_national_yearly!$D:$AM, 35, FALSE) / VLOOKUP("buildings|SO2|Respiratory hospital admissions", US_national_yearly!$D:$AM, 10, FALSE), 1)</f>
        <v>7.5052175964576227E-6</v>
      </c>
      <c r="AB12" s="7">
        <f>$B12 * IFERROR(VLOOKUP("buildings|SO2|Respiratory hospital admissions", US_national_yearly!$D:$AM, 36, FALSE) / VLOOKUP("buildings|SO2|Respiratory hospital admissions", US_national_yearly!$D:$AM, 10, FALSE), 1)</f>
        <v>7.5330512921544783E-6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3.2895840248044004E-5</v>
      </c>
      <c r="C13" s="7">
        <f>$B13 * IFERROR(VLOOKUP("buildings|SO2|Non-fatal heart attacks", US_national_yearly!$D:$AM, 11, FALSE) / VLOOKUP("buildings|SO2|Non-fatal heart attacks", US_national_yearly!$D:$AM, 10, FALSE), 1)</f>
        <v>3.386185485213465E-5</v>
      </c>
      <c r="D13" s="7">
        <f>$B13 * IFERROR(VLOOKUP("buildings|SO2|Non-fatal heart attacks", US_national_yearly!$D:$AM, 12, FALSE) / VLOOKUP("buildings|SO2|Non-fatal heart attacks", US_national_yearly!$D:$AM, 10, FALSE), 1)</f>
        <v>3.4827869456225296E-5</v>
      </c>
      <c r="E13" s="7">
        <f>$B13 * IFERROR(VLOOKUP("buildings|SO2|Non-fatal heart attacks", US_national_yearly!$D:$AM, 13, FALSE) / VLOOKUP("buildings|SO2|Non-fatal heart attacks", US_national_yearly!$D:$AM, 10, FALSE), 1)</f>
        <v>3.5793884060315935E-5</v>
      </c>
      <c r="F13" s="7">
        <f>$B13 * IFERROR(VLOOKUP("buildings|SO2|Non-fatal heart attacks", US_national_yearly!$D:$AM, 14, FALSE) / VLOOKUP("buildings|SO2|Non-fatal heart attacks", US_national_yearly!$D:$AM, 10, FALSE), 1)</f>
        <v>3.6759898664406587E-5</v>
      </c>
      <c r="G13" s="7">
        <f>$B13 * IFERROR(VLOOKUP("buildings|SO2|Non-fatal heart attacks", US_national_yearly!$D:$AM, 15, FALSE) / VLOOKUP("buildings|SO2|Non-fatal heart attacks", US_national_yearly!$D:$AM, 10, FALSE), 1)</f>
        <v>3.7671006235181607E-5</v>
      </c>
      <c r="H13" s="7">
        <f>$B13 * IFERROR(VLOOKUP("buildings|SO2|Non-fatal heart attacks", US_national_yearly!$D:$AM, 16, FALSE) / VLOOKUP("buildings|SO2|Non-fatal heart attacks", US_national_yearly!$D:$AM, 10, FALSE), 1)</f>
        <v>3.8582113805956633E-5</v>
      </c>
      <c r="I13" s="7">
        <f>$B13 * IFERROR(VLOOKUP("buildings|SO2|Non-fatal heart attacks", US_national_yearly!$D:$AM, 17, FALSE) / VLOOKUP("buildings|SO2|Non-fatal heart attacks", US_national_yearly!$D:$AM, 10, FALSE), 1)</f>
        <v>3.9315495008786177E-5</v>
      </c>
      <c r="J13" s="7">
        <f>$B13 * IFERROR(VLOOKUP("buildings|SO2|Non-fatal heart attacks", US_national_yearly!$D:$AM, 18, FALSE) / VLOOKUP("buildings|SO2|Non-fatal heart attacks", US_national_yearly!$D:$AM, 10, FALSE), 1)</f>
        <v>4.0048876211615735E-5</v>
      </c>
      <c r="K13" s="7">
        <f>$B13 * IFERROR(VLOOKUP("buildings|SO2|Non-fatal heart attacks", US_national_yearly!$D:$AM, 19, FALSE) / VLOOKUP("buildings|SO2|Non-fatal heart attacks", US_national_yearly!$D:$AM, 10, FALSE), 1)</f>
        <v>4.0782257414445286E-5</v>
      </c>
      <c r="L13" s="7">
        <f>$B13 * IFERROR(VLOOKUP("buildings|SO2|Non-fatal heart attacks", US_national_yearly!$D:$AM, 20, FALSE) / VLOOKUP("buildings|SO2|Non-fatal heart attacks", US_national_yearly!$D:$AM, 10, FALSE), 1)</f>
        <v>4.151563861727485E-5</v>
      </c>
      <c r="M13" s="7">
        <f>$B13 * IFERROR(VLOOKUP("buildings|SO2|Non-fatal heart attacks", US_national_yearly!$D:$AM, 21, FALSE) / VLOOKUP("buildings|SO2|Non-fatal heart attacks", US_national_yearly!$D:$AM, 10, FALSE), 1)</f>
        <v>4.2249019820104408E-5</v>
      </c>
      <c r="N13" s="7">
        <f>$B13 * IFERROR(VLOOKUP("buildings|SO2|Non-fatal heart attacks", US_national_yearly!$D:$AM, 22, FALSE) / VLOOKUP("buildings|SO2|Non-fatal heart attacks", US_national_yearly!$D:$AM, 10, FALSE), 1)</f>
        <v>4.2725018312578919E-5</v>
      </c>
      <c r="O13" s="7">
        <f>$B13 * IFERROR(VLOOKUP("buildings|SO2|Non-fatal heart attacks", US_national_yearly!$D:$AM, 23, FALSE) / VLOOKUP("buildings|SO2|Non-fatal heart attacks", US_national_yearly!$D:$AM, 10, FALSE), 1)</f>
        <v>4.3201016805053431E-5</v>
      </c>
      <c r="P13" s="7">
        <f>$B13 * IFERROR(VLOOKUP("buildings|SO2|Non-fatal heart attacks", US_national_yearly!$D:$AM, 24, FALSE) / VLOOKUP("buildings|SO2|Non-fatal heart attacks", US_national_yearly!$D:$AM, 10, FALSE), 1)</f>
        <v>4.3677015297527942E-5</v>
      </c>
      <c r="Q13" s="7">
        <f>$B13 * IFERROR(VLOOKUP("buildings|SO2|Non-fatal heart attacks", US_national_yearly!$D:$AM, 25, FALSE) / VLOOKUP("buildings|SO2|Non-fatal heart attacks", US_national_yearly!$D:$AM, 10, FALSE), 1)</f>
        <v>4.4153013790002454E-5</v>
      </c>
      <c r="R13" s="7">
        <f>$B13 * IFERROR(VLOOKUP("buildings|SO2|Non-fatal heart attacks", US_national_yearly!$D:$AM, 26, FALSE) / VLOOKUP("buildings|SO2|Non-fatal heart attacks", US_national_yearly!$D:$AM, 10, FALSE), 1)</f>
        <v>4.4629012282476972E-5</v>
      </c>
      <c r="S13" s="7">
        <f>$B13 * IFERROR(VLOOKUP("buildings|SO2|Non-fatal heart attacks", US_national_yearly!$D:$AM, 27, FALSE) / VLOOKUP("buildings|SO2|Non-fatal heart attacks", US_national_yearly!$D:$AM, 10, FALSE), 1)</f>
        <v>4.4877577915858273E-5</v>
      </c>
      <c r="T13" s="7">
        <f>$B13 * IFERROR(VLOOKUP("buildings|SO2|Non-fatal heart attacks", US_national_yearly!$D:$AM, 28, FALSE) / VLOOKUP("buildings|SO2|Non-fatal heart attacks", US_national_yearly!$D:$AM, 10, FALSE), 1)</f>
        <v>4.5126143549239574E-5</v>
      </c>
      <c r="U13" s="7">
        <f>$B13 * IFERROR(VLOOKUP("buildings|SO2|Non-fatal heart attacks", US_national_yearly!$D:$AM, 29, FALSE) / VLOOKUP("buildings|SO2|Non-fatal heart attacks", US_national_yearly!$D:$AM, 10, FALSE), 1)</f>
        <v>4.5374709182620862E-5</v>
      </c>
      <c r="V13" s="7">
        <f>$B13 * IFERROR(VLOOKUP("buildings|SO2|Non-fatal heart attacks", US_national_yearly!$D:$AM, 30, FALSE) / VLOOKUP("buildings|SO2|Non-fatal heart attacks", US_national_yearly!$D:$AM, 10, FALSE), 1)</f>
        <v>4.5623274816002162E-5</v>
      </c>
      <c r="W13" s="7">
        <f>$B13 * IFERROR(VLOOKUP("buildings|SO2|Non-fatal heart attacks", US_national_yearly!$D:$AM, 31, FALSE) / VLOOKUP("buildings|SO2|Non-fatal heart attacks", US_national_yearly!$D:$AM, 10, FALSE), 1)</f>
        <v>4.5871840449383457E-5</v>
      </c>
      <c r="X13" s="7">
        <f>$B13 * IFERROR(VLOOKUP("buildings|SO2|Non-fatal heart attacks", US_national_yearly!$D:$AM, 32, FALSE) / VLOOKUP("buildings|SO2|Non-fatal heart attacks", US_national_yearly!$D:$AM, 10, FALSE), 1)</f>
        <v>4.6059575469008675E-5</v>
      </c>
      <c r="Y13" s="7">
        <f>$B13 * IFERROR(VLOOKUP("buildings|SO2|Non-fatal heart attacks", US_national_yearly!$D:$AM, 33, FALSE) / VLOOKUP("buildings|SO2|Non-fatal heart attacks", US_national_yearly!$D:$AM, 10, FALSE), 1)</f>
        <v>4.6247310488633894E-5</v>
      </c>
      <c r="Z13" s="7">
        <f>$B13 * IFERROR(VLOOKUP("buildings|SO2|Non-fatal heart attacks", US_national_yearly!$D:$AM, 34, FALSE) / VLOOKUP("buildings|SO2|Non-fatal heart attacks", US_national_yearly!$D:$AM, 10, FALSE), 1)</f>
        <v>4.6435045508259099E-5</v>
      </c>
      <c r="AA13" s="7">
        <f>$B13 * IFERROR(VLOOKUP("buildings|SO2|Non-fatal heart attacks", US_national_yearly!$D:$AM, 35, FALSE) / VLOOKUP("buildings|SO2|Non-fatal heart attacks", US_national_yearly!$D:$AM, 10, FALSE), 1)</f>
        <v>4.6622780527884325E-5</v>
      </c>
      <c r="AB13" s="7">
        <f>$B13 * IFERROR(VLOOKUP("buildings|SO2|Non-fatal heart attacks", US_national_yearly!$D:$AM, 36, FALSE) / VLOOKUP("buildings|SO2|Non-fatal heart attacks", US_national_yearly!$D:$AM, 10, FALSE), 1)</f>
        <v>4.6810515547509537E-5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3.6596892652165092E-2</v>
      </c>
      <c r="C14" s="7">
        <f>$B14 * IFERROR(VLOOKUP("buildings|SO2|Minor restricted activity days", US_national_yearly!$D:$AM, 11, FALSE) / VLOOKUP("buildings|SO2|Minor restricted activity days", US_national_yearly!$D:$AM, 10, FALSE), 1)</f>
        <v>3.6689535758052581E-2</v>
      </c>
      <c r="D14" s="7">
        <f>$B14 * IFERROR(VLOOKUP("buildings|SO2|Minor restricted activity days", US_national_yearly!$D:$AM, 12, FALSE) / VLOOKUP("buildings|SO2|Minor restricted activity days", US_national_yearly!$D:$AM, 10, FALSE), 1)</f>
        <v>3.6782178863940078E-2</v>
      </c>
      <c r="E14" s="7">
        <f>$B14 * IFERROR(VLOOKUP("buildings|SO2|Minor restricted activity days", US_national_yearly!$D:$AM, 13, FALSE) / VLOOKUP("buildings|SO2|Minor restricted activity days", US_national_yearly!$D:$AM, 10, FALSE), 1)</f>
        <v>3.6874821969827581E-2</v>
      </c>
      <c r="F14" s="7">
        <f>$B14 * IFERROR(VLOOKUP("buildings|SO2|Minor restricted activity days", US_national_yearly!$D:$AM, 14, FALSE) / VLOOKUP("buildings|SO2|Minor restricted activity days", US_national_yearly!$D:$AM, 10, FALSE), 1)</f>
        <v>3.6967465075715071E-2</v>
      </c>
      <c r="G14" s="7">
        <f>$B14 * IFERROR(VLOOKUP("buildings|SO2|Minor restricted activity days", US_national_yearly!$D:$AM, 15, FALSE) / VLOOKUP("buildings|SO2|Minor restricted activity days", US_national_yearly!$D:$AM, 10, FALSE), 1)</f>
        <v>3.7103687148778701E-2</v>
      </c>
      <c r="H14" s="7">
        <f>$B14 * IFERROR(VLOOKUP("buildings|SO2|Minor restricted activity days", US_national_yearly!$D:$AM, 16, FALSE) / VLOOKUP("buildings|SO2|Minor restricted activity days", US_national_yearly!$D:$AM, 10, FALSE), 1)</f>
        <v>3.7239909221842331E-2</v>
      </c>
      <c r="I14" s="7">
        <f>$B14 * IFERROR(VLOOKUP("buildings|SO2|Minor restricted activity days", US_national_yearly!$D:$AM, 17, FALSE) / VLOOKUP("buildings|SO2|Minor restricted activity days", US_national_yearly!$D:$AM, 10, FALSE), 1)</f>
        <v>3.7471909121055968E-2</v>
      </c>
      <c r="J14" s="7">
        <f>$B14 * IFERROR(VLOOKUP("buildings|SO2|Minor restricted activity days", US_national_yearly!$D:$AM, 18, FALSE) / VLOOKUP("buildings|SO2|Minor restricted activity days", US_national_yearly!$D:$AM, 10, FALSE), 1)</f>
        <v>3.770390902026962E-2</v>
      </c>
      <c r="K14" s="7">
        <f>$B14 * IFERROR(VLOOKUP("buildings|SO2|Minor restricted activity days", US_national_yearly!$D:$AM, 19, FALSE) / VLOOKUP("buildings|SO2|Minor restricted activity days", US_national_yearly!$D:$AM, 10, FALSE), 1)</f>
        <v>3.7935908919483265E-2</v>
      </c>
      <c r="L14" s="7">
        <f>$B14 * IFERROR(VLOOKUP("buildings|SO2|Minor restricted activity days", US_national_yearly!$D:$AM, 20, FALSE) / VLOOKUP("buildings|SO2|Minor restricted activity days", US_national_yearly!$D:$AM, 10, FALSE), 1)</f>
        <v>3.8167908818696909E-2</v>
      </c>
      <c r="M14" s="7">
        <f>$B14 * IFERROR(VLOOKUP("buildings|SO2|Minor restricted activity days", US_national_yearly!$D:$AM, 21, FALSE) / VLOOKUP("buildings|SO2|Minor restricted activity days", US_national_yearly!$D:$AM, 10, FALSE), 1)</f>
        <v>3.8399908717910547E-2</v>
      </c>
      <c r="N14" s="7">
        <f>$B14 * IFERROR(VLOOKUP("buildings|SO2|Minor restricted activity days", US_national_yearly!$D:$AM, 22, FALSE) / VLOOKUP("buildings|SO2|Minor restricted activity days", US_national_yearly!$D:$AM, 10, FALSE), 1)</f>
        <v>3.8717156388678897E-2</v>
      </c>
      <c r="O14" s="7">
        <f>$B14 * IFERROR(VLOOKUP("buildings|SO2|Minor restricted activity days", US_national_yearly!$D:$AM, 23, FALSE) / VLOOKUP("buildings|SO2|Minor restricted activity days", US_national_yearly!$D:$AM, 10, FALSE), 1)</f>
        <v>3.9034404059447254E-2</v>
      </c>
      <c r="P14" s="7">
        <f>$B14 * IFERROR(VLOOKUP("buildings|SO2|Minor restricted activity days", US_national_yearly!$D:$AM, 24, FALSE) / VLOOKUP("buildings|SO2|Minor restricted activity days", US_national_yearly!$D:$AM, 10, FALSE), 1)</f>
        <v>3.9351651730215598E-2</v>
      </c>
      <c r="Q14" s="7">
        <f>$B14 * IFERROR(VLOOKUP("buildings|SO2|Minor restricted activity days", US_national_yearly!$D:$AM, 25, FALSE) / VLOOKUP("buildings|SO2|Minor restricted activity days", US_national_yearly!$D:$AM, 10, FALSE), 1)</f>
        <v>3.9668899400983948E-2</v>
      </c>
      <c r="R14" s="7">
        <f>$B14 * IFERROR(VLOOKUP("buildings|SO2|Minor restricted activity days", US_national_yearly!$D:$AM, 26, FALSE) / VLOOKUP("buildings|SO2|Minor restricted activity days", US_national_yearly!$D:$AM, 10, FALSE), 1)</f>
        <v>3.9986147071752298E-2</v>
      </c>
      <c r="S14" s="7">
        <f>$B14 * IFERROR(VLOOKUP("buildings|SO2|Minor restricted activity days", US_national_yearly!$D:$AM, 27, FALSE) / VLOOKUP("buildings|SO2|Minor restricted activity days", US_national_yearly!$D:$AM, 10, FALSE), 1)</f>
        <v>4.0309560475831493E-2</v>
      </c>
      <c r="T14" s="7">
        <f>$B14 * IFERROR(VLOOKUP("buildings|SO2|Minor restricted activity days", US_national_yearly!$D:$AM, 28, FALSE) / VLOOKUP("buildings|SO2|Minor restricted activity days", US_national_yearly!$D:$AM, 10, FALSE), 1)</f>
        <v>4.0632973879910682E-2</v>
      </c>
      <c r="U14" s="7">
        <f>$B14 * IFERROR(VLOOKUP("buildings|SO2|Minor restricted activity days", US_national_yearly!$D:$AM, 29, FALSE) / VLOOKUP("buildings|SO2|Minor restricted activity days", US_national_yearly!$D:$AM, 10, FALSE), 1)</f>
        <v>4.0956387283989877E-2</v>
      </c>
      <c r="V14" s="7">
        <f>$B14 * IFERROR(VLOOKUP("buildings|SO2|Minor restricted activity days", US_national_yearly!$D:$AM, 30, FALSE) / VLOOKUP("buildings|SO2|Minor restricted activity days", US_national_yearly!$D:$AM, 10, FALSE), 1)</f>
        <v>4.1279800688069065E-2</v>
      </c>
      <c r="W14" s="7">
        <f>$B14 * IFERROR(VLOOKUP("buildings|SO2|Minor restricted activity days", US_national_yearly!$D:$AM, 31, FALSE) / VLOOKUP("buildings|SO2|Minor restricted activity days", US_national_yearly!$D:$AM, 10, FALSE), 1)</f>
        <v>4.1603214092148268E-2</v>
      </c>
      <c r="X14" s="7">
        <f>$B14 * IFERROR(VLOOKUP("buildings|SO2|Minor restricted activity days", US_national_yearly!$D:$AM, 32, FALSE) / VLOOKUP("buildings|SO2|Minor restricted activity days", US_national_yearly!$D:$AM, 10, FALSE), 1)</f>
        <v>4.1887637464787138E-2</v>
      </c>
      <c r="Y14" s="7">
        <f>$B14 * IFERROR(VLOOKUP("buildings|SO2|Minor restricted activity days", US_national_yearly!$D:$AM, 33, FALSE) / VLOOKUP("buildings|SO2|Minor restricted activity days", US_national_yearly!$D:$AM, 10, FALSE), 1)</f>
        <v>4.2172060837426015E-2</v>
      </c>
      <c r="Z14" s="7">
        <f>$B14 * IFERROR(VLOOKUP("buildings|SO2|Minor restricted activity days", US_national_yearly!$D:$AM, 34, FALSE) / VLOOKUP("buildings|SO2|Minor restricted activity days", US_national_yearly!$D:$AM, 10, FALSE), 1)</f>
        <v>4.2456484210064878E-2</v>
      </c>
      <c r="AA14" s="7">
        <f>$B14 * IFERROR(VLOOKUP("buildings|SO2|Minor restricted activity days", US_national_yearly!$D:$AM, 35, FALSE) / VLOOKUP("buildings|SO2|Minor restricted activity days", US_national_yearly!$D:$AM, 10, FALSE), 1)</f>
        <v>4.2740907582703755E-2</v>
      </c>
      <c r="AB14" s="7">
        <f>$B14 * IFERROR(VLOOKUP("buildings|SO2|Minor restricted activity days", US_national_yearly!$D:$AM, 36, FALSE) / VLOOKUP("buildings|SO2|Minor restricted activity days", US_national_yearly!$D:$AM, 10, FALSE), 1)</f>
        <v>4.3025330955342625E-2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6.224494348308237E-3</v>
      </c>
      <c r="C15" s="7">
        <f>$B15 * IFERROR(VLOOKUP("buildings|SO2|Work loss days", US_national_yearly!$D:$AM, 11, FALSE) / VLOOKUP("buildings|SO2|Work loss days", US_national_yearly!$D:$AM, 10, FALSE), 1)</f>
        <v>6.2447176290779793E-3</v>
      </c>
      <c r="D15" s="7">
        <f>$B15 * IFERROR(VLOOKUP("buildings|SO2|Work loss days", US_national_yearly!$D:$AM, 12, FALSE) / VLOOKUP("buildings|SO2|Work loss days", US_national_yearly!$D:$AM, 10, FALSE), 1)</f>
        <v>6.2649409098477224E-3</v>
      </c>
      <c r="E15" s="7">
        <f>$B15 * IFERROR(VLOOKUP("buildings|SO2|Work loss days", US_national_yearly!$D:$AM, 13, FALSE) / VLOOKUP("buildings|SO2|Work loss days", US_national_yearly!$D:$AM, 10, FALSE), 1)</f>
        <v>6.2851641906174647E-3</v>
      </c>
      <c r="F15" s="7">
        <f>$B15 * IFERROR(VLOOKUP("buildings|SO2|Work loss days", US_national_yearly!$D:$AM, 14, FALSE) / VLOOKUP("buildings|SO2|Work loss days", US_national_yearly!$D:$AM, 10, FALSE), 1)</f>
        <v>6.3053874713872061E-3</v>
      </c>
      <c r="G15" s="7">
        <f>$B15 * IFERROR(VLOOKUP("buildings|SO2|Work loss days", US_national_yearly!$D:$AM, 15, FALSE) / VLOOKUP("buildings|SO2|Work loss days", US_national_yearly!$D:$AM, 10, FALSE), 1)</f>
        <v>6.331800195200959E-3</v>
      </c>
      <c r="H15" s="7">
        <f>$B15 * IFERROR(VLOOKUP("buildings|SO2|Work loss days", US_national_yearly!$D:$AM, 16, FALSE) / VLOOKUP("buildings|SO2|Work loss days", US_national_yearly!$D:$AM, 10, FALSE), 1)</f>
        <v>6.3582129190147144E-3</v>
      </c>
      <c r="I15" s="7">
        <f>$B15 * IFERROR(VLOOKUP("buildings|SO2|Work loss days", US_national_yearly!$D:$AM, 17, FALSE) / VLOOKUP("buildings|SO2|Work loss days", US_national_yearly!$D:$AM, 10, FALSE), 1)</f>
        <v>6.3968297996077903E-3</v>
      </c>
      <c r="J15" s="7">
        <f>$B15 * IFERROR(VLOOKUP("buildings|SO2|Work loss days", US_national_yearly!$D:$AM, 18, FALSE) / VLOOKUP("buildings|SO2|Work loss days", US_national_yearly!$D:$AM, 10, FALSE), 1)</f>
        <v>6.4354466802008653E-3</v>
      </c>
      <c r="K15" s="7">
        <f>$B15 * IFERROR(VLOOKUP("buildings|SO2|Work loss days", US_national_yearly!$D:$AM, 19, FALSE) / VLOOKUP("buildings|SO2|Work loss days", US_national_yearly!$D:$AM, 10, FALSE), 1)</f>
        <v>6.4740635607939421E-3</v>
      </c>
      <c r="L15" s="7">
        <f>$B15 * IFERROR(VLOOKUP("buildings|SO2|Work loss days", US_national_yearly!$D:$AM, 20, FALSE) / VLOOKUP("buildings|SO2|Work loss days", US_national_yearly!$D:$AM, 10, FALSE), 1)</f>
        <v>6.5126804413870171E-3</v>
      </c>
      <c r="M15" s="7">
        <f>$B15 * IFERROR(VLOOKUP("buildings|SO2|Work loss days", US_national_yearly!$D:$AM, 21, FALSE) / VLOOKUP("buildings|SO2|Work loss days", US_national_yearly!$D:$AM, 10, FALSE), 1)</f>
        <v>6.5512973219800921E-3</v>
      </c>
      <c r="N15" s="7">
        <f>$B15 * IFERROR(VLOOKUP("buildings|SO2|Work loss days", US_national_yearly!$D:$AM, 22, FALSE) / VLOOKUP("buildings|SO2|Work loss days", US_national_yearly!$D:$AM, 10, FALSE), 1)</f>
        <v>6.5997222576496756E-3</v>
      </c>
      <c r="O15" s="7">
        <f>$B15 * IFERROR(VLOOKUP("buildings|SO2|Work loss days", US_national_yearly!$D:$AM, 23, FALSE) / VLOOKUP("buildings|SO2|Work loss days", US_national_yearly!$D:$AM, 10, FALSE), 1)</f>
        <v>6.6481471933192574E-3</v>
      </c>
      <c r="P15" s="7">
        <f>$B15 * IFERROR(VLOOKUP("buildings|SO2|Work loss days", US_national_yearly!$D:$AM, 24, FALSE) / VLOOKUP("buildings|SO2|Work loss days", US_national_yearly!$D:$AM, 10, FALSE), 1)</f>
        <v>6.6965721289888392E-3</v>
      </c>
      <c r="Q15" s="7">
        <f>$B15 * IFERROR(VLOOKUP("buildings|SO2|Work loss days", US_national_yearly!$D:$AM, 25, FALSE) / VLOOKUP("buildings|SO2|Work loss days", US_national_yearly!$D:$AM, 10, FALSE), 1)</f>
        <v>6.7449970646584227E-3</v>
      </c>
      <c r="R15" s="7">
        <f>$B15 * IFERROR(VLOOKUP("buildings|SO2|Work loss days", US_national_yearly!$D:$AM, 26, FALSE) / VLOOKUP("buildings|SO2|Work loss days", US_national_yearly!$D:$AM, 10, FALSE), 1)</f>
        <v>6.7934220003280027E-3</v>
      </c>
      <c r="S15" s="7">
        <f>$B15 * IFERROR(VLOOKUP("buildings|SO2|Work loss days", US_national_yearly!$D:$AM, 27, FALSE) / VLOOKUP("buildings|SO2|Work loss days", US_national_yearly!$D:$AM, 10, FALSE), 1)</f>
        <v>6.8475168952301709E-3</v>
      </c>
      <c r="T15" s="7">
        <f>$B15 * IFERROR(VLOOKUP("buildings|SO2|Work loss days", US_national_yearly!$D:$AM, 28, FALSE) / VLOOKUP("buildings|SO2|Work loss days", US_national_yearly!$D:$AM, 10, FALSE), 1)</f>
        <v>6.9016117901323382E-3</v>
      </c>
      <c r="U15" s="7">
        <f>$B15 * IFERROR(VLOOKUP("buildings|SO2|Work loss days", US_national_yearly!$D:$AM, 29, FALSE) / VLOOKUP("buildings|SO2|Work loss days", US_national_yearly!$D:$AM, 10, FALSE), 1)</f>
        <v>6.9557066850345064E-3</v>
      </c>
      <c r="V15" s="7">
        <f>$B15 * IFERROR(VLOOKUP("buildings|SO2|Work loss days", US_national_yearly!$D:$AM, 30, FALSE) / VLOOKUP("buildings|SO2|Work loss days", US_national_yearly!$D:$AM, 10, FALSE), 1)</f>
        <v>7.0098015799366729E-3</v>
      </c>
      <c r="W15" s="7">
        <f>$B15 * IFERROR(VLOOKUP("buildings|SO2|Work loss days", US_national_yearly!$D:$AM, 31, FALSE) / VLOOKUP("buildings|SO2|Work loss days", US_national_yearly!$D:$AM, 10, FALSE), 1)</f>
        <v>7.0638964748388411E-3</v>
      </c>
      <c r="X15" s="7">
        <f>$B15 * IFERROR(VLOOKUP("buildings|SO2|Work loss days", US_national_yearly!$D:$AM, 32, FALSE) / VLOOKUP("buildings|SO2|Work loss days", US_national_yearly!$D:$AM, 10, FALSE), 1)</f>
        <v>7.1124673140820693E-3</v>
      </c>
      <c r="Y15" s="7">
        <f>$B15 * IFERROR(VLOOKUP("buildings|SO2|Work loss days", US_national_yearly!$D:$AM, 33, FALSE) / VLOOKUP("buildings|SO2|Work loss days", US_national_yearly!$D:$AM, 10, FALSE), 1)</f>
        <v>7.1610381533252984E-3</v>
      </c>
      <c r="Z15" s="7">
        <f>$B15 * IFERROR(VLOOKUP("buildings|SO2|Work loss days", US_national_yearly!$D:$AM, 34, FALSE) / VLOOKUP("buildings|SO2|Work loss days", US_national_yearly!$D:$AM, 10, FALSE), 1)</f>
        <v>7.2096089925685258E-3</v>
      </c>
      <c r="AA15" s="7">
        <f>$B15 * IFERROR(VLOOKUP("buildings|SO2|Work loss days", US_national_yearly!$D:$AM, 35, FALSE) / VLOOKUP("buildings|SO2|Work loss days", US_national_yearly!$D:$AM, 10, FALSE), 1)</f>
        <v>7.2581798318117549E-3</v>
      </c>
      <c r="AB15" s="7">
        <f>$B15 * IFERROR(VLOOKUP("buildings|SO2|Work loss days", US_national_yearly!$D:$AM, 36, FALSE) / VLOOKUP("buildings|SO2|Work loss days", US_national_yearly!$D:$AM, 10, FALSE), 1)</f>
        <v>7.3067506710549823E-3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7.7925513205043956E-6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8.0282709989927132E-6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8.2639906774810325E-6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8.4997103559693518E-6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8.7354300344576694E-6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8.9612353671455473E-6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9.1870406998334235E-6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9.3805554150679703E-6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9.5740701303025138E-6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9.7675848455370607E-6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9.9610995607716058E-6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1.0154614276006148E-5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1.0284555529036023E-5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1.0414496782065897E-5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1.0544438035095773E-5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1.0674379288125645E-5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1.080432054115552E-5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1.0872653901151303E-5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1.0940987261147087E-5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1.1009320621142868E-5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1.1077653981138651E-5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1.1145987341134433E-5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1.119187334598792E-5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1.1237759350841405E-5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1.1283645355694891E-5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1.1329531360548377E-5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1.1375417365401863E-5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6.4312242644537834E-4</v>
      </c>
      <c r="C2" s="7">
        <f>$B2 * IFERROR(VLOOKUP("industry|PM25|Premature mortality", US_national_yearly!$D:$AM, 11, FALSE) / VLOOKUP("industry|PM25|Premature mortality", US_national_yearly!$D:$AM, 10, FALSE), 1)</f>
        <v>6.5113140231083568E-4</v>
      </c>
      <c r="D2" s="7">
        <f>$B2 * IFERROR(VLOOKUP("industry|PM25|Premature mortality", US_national_yearly!$D:$AM, 12, FALSE) / VLOOKUP("industry|PM25|Premature mortality", US_national_yearly!$D:$AM, 10, FALSE), 1)</f>
        <v>6.5914037817629281E-4</v>
      </c>
      <c r="E2" s="7">
        <f>$B2 * IFERROR(VLOOKUP("industry|PM25|Premature mortality", US_national_yearly!$D:$AM, 13, FALSE) / VLOOKUP("industry|PM25|Premature mortality", US_national_yearly!$D:$AM, 10, FALSE), 1)</f>
        <v>6.6714935404175015E-4</v>
      </c>
      <c r="F2" s="7">
        <f>$B2 * IFERROR(VLOOKUP("industry|PM25|Premature mortality", US_national_yearly!$D:$AM, 14, FALSE) / VLOOKUP("industry|PM25|Premature mortality", US_national_yearly!$D:$AM, 10, FALSE), 1)</f>
        <v>6.7515832990720727E-4</v>
      </c>
      <c r="G2" s="7">
        <f>$B2 * IFERROR(VLOOKUP("industry|PM25|Premature mortality", US_national_yearly!$D:$AM, 15, FALSE) / VLOOKUP("industry|PM25|Premature mortality", US_national_yearly!$D:$AM, 10, FALSE), 1)</f>
        <v>6.9073966805446104E-4</v>
      </c>
      <c r="H2" s="7">
        <f>$B2 * IFERROR(VLOOKUP("industry|PM25|Premature mortality", US_national_yearly!$D:$AM, 16, FALSE) / VLOOKUP("industry|PM25|Premature mortality", US_national_yearly!$D:$AM, 10, FALSE), 1)</f>
        <v>7.0632100620171491E-4</v>
      </c>
      <c r="I2" s="7">
        <f>$B2 * IFERROR(VLOOKUP("industry|PM25|Premature mortality", US_national_yearly!$D:$AM, 17, FALSE) / VLOOKUP("industry|PM25|Premature mortality", US_national_yearly!$D:$AM, 10, FALSE), 1)</f>
        <v>7.1660931198293178E-4</v>
      </c>
      <c r="J2" s="7">
        <f>$B2 * IFERROR(VLOOKUP("industry|PM25|Premature mortality", US_national_yearly!$D:$AM, 18, FALSE) / VLOOKUP("industry|PM25|Premature mortality", US_national_yearly!$D:$AM, 10, FALSE), 1)</f>
        <v>7.2689761776414865E-4</v>
      </c>
      <c r="K2" s="7">
        <f>$B2 * IFERROR(VLOOKUP("industry|PM25|Premature mortality", US_national_yearly!$D:$AM, 19, FALSE) / VLOOKUP("industry|PM25|Premature mortality", US_national_yearly!$D:$AM, 10, FALSE), 1)</f>
        <v>7.3718592354536552E-4</v>
      </c>
      <c r="L2" s="7">
        <f>$B2 * IFERROR(VLOOKUP("industry|PM25|Premature mortality", US_national_yearly!$D:$AM, 20, FALSE) / VLOOKUP("industry|PM25|Premature mortality", US_national_yearly!$D:$AM, 10, FALSE), 1)</f>
        <v>7.4747422932658228E-4</v>
      </c>
      <c r="M2" s="7">
        <f>$B2 * IFERROR(VLOOKUP("industry|PM25|Premature mortality", US_national_yearly!$D:$AM, 21, FALSE) / VLOOKUP("industry|PM25|Premature mortality", US_national_yearly!$D:$AM, 10, FALSE), 1)</f>
        <v>7.5776253510779926E-4</v>
      </c>
      <c r="N2" s="7">
        <f>$B2 * IFERROR(VLOOKUP("industry|PM25|Premature mortality", US_national_yearly!$D:$AM, 22, FALSE) / VLOOKUP("industry|PM25|Premature mortality", US_national_yearly!$D:$AM, 10, FALSE), 1)</f>
        <v>7.6577800492926267E-4</v>
      </c>
      <c r="O2" s="7">
        <f>$B2 * IFERROR(VLOOKUP("industry|PM25|Premature mortality", US_national_yearly!$D:$AM, 23, FALSE) / VLOOKUP("industry|PM25|Premature mortality", US_national_yearly!$D:$AM, 10, FALSE), 1)</f>
        <v>7.7379347475072598E-4</v>
      </c>
      <c r="P2" s="7">
        <f>$B2 * IFERROR(VLOOKUP("industry|PM25|Premature mortality", US_national_yearly!$D:$AM, 24, FALSE) / VLOOKUP("industry|PM25|Premature mortality", US_national_yearly!$D:$AM, 10, FALSE), 1)</f>
        <v>7.8180894457218939E-4</v>
      </c>
      <c r="Q2" s="7">
        <f>$B2 * IFERROR(VLOOKUP("industry|PM25|Premature mortality", US_national_yearly!$D:$AM, 25, FALSE) / VLOOKUP("industry|PM25|Premature mortality", US_national_yearly!$D:$AM, 10, FALSE), 1)</f>
        <v>7.8982441439365281E-4</v>
      </c>
      <c r="R2" s="7">
        <f>$B2 * IFERROR(VLOOKUP("industry|PM25|Premature mortality", US_national_yearly!$D:$AM, 26, FALSE) / VLOOKUP("industry|PM25|Premature mortality", US_national_yearly!$D:$AM, 10, FALSE), 1)</f>
        <v>7.9783988421511611E-4</v>
      </c>
      <c r="S2" s="7">
        <f>$B2 * IFERROR(VLOOKUP("industry|PM25|Premature mortality", US_national_yearly!$D:$AM, 27, FALSE) / VLOOKUP("industry|PM25|Premature mortality", US_national_yearly!$D:$AM, 10, FALSE), 1)</f>
        <v>8.0216794062714779E-4</v>
      </c>
      <c r="T2" s="7">
        <f>$B2 * IFERROR(VLOOKUP("industry|PM25|Premature mortality", US_national_yearly!$D:$AM, 28, FALSE) / VLOOKUP("industry|PM25|Premature mortality", US_national_yearly!$D:$AM, 10, FALSE), 1)</f>
        <v>8.0649599703917958E-4</v>
      </c>
      <c r="U2" s="7">
        <f>$B2 * IFERROR(VLOOKUP("industry|PM25|Premature mortality", US_national_yearly!$D:$AM, 29, FALSE) / VLOOKUP("industry|PM25|Premature mortality", US_national_yearly!$D:$AM, 10, FALSE), 1)</f>
        <v>8.1082405345121158E-4</v>
      </c>
      <c r="V2" s="7">
        <f>$B2 * IFERROR(VLOOKUP("industry|PM25|Premature mortality", US_national_yearly!$D:$AM, 30, FALSE) / VLOOKUP("industry|PM25|Premature mortality", US_national_yearly!$D:$AM, 10, FALSE), 1)</f>
        <v>8.1515210986324337E-4</v>
      </c>
      <c r="W2" s="7">
        <f>$B2 * IFERROR(VLOOKUP("industry|PM25|Premature mortality", US_national_yearly!$D:$AM, 31, FALSE) / VLOOKUP("industry|PM25|Premature mortality", US_national_yearly!$D:$AM, 10, FALSE), 1)</f>
        <v>8.1948016627527505E-4</v>
      </c>
      <c r="X2" s="7">
        <f>$B2 * IFERROR(VLOOKUP("industry|PM25|Premature mortality", US_national_yearly!$D:$AM, 32, FALSE) / VLOOKUP("industry|PM25|Premature mortality", US_national_yearly!$D:$AM, 10, FALSE), 1)</f>
        <v>8.2037375822320037E-4</v>
      </c>
      <c r="Y2" s="7">
        <f>$B2 * IFERROR(VLOOKUP("industry|PM25|Premature mortality", US_national_yearly!$D:$AM, 33, FALSE) / VLOOKUP("industry|PM25|Premature mortality", US_national_yearly!$D:$AM, 10, FALSE), 1)</f>
        <v>8.2126735017112613E-4</v>
      </c>
      <c r="Z2" s="7">
        <f>$B2 * IFERROR(VLOOKUP("industry|PM25|Premature mortality", US_national_yearly!$D:$AM, 34, FALSE) / VLOOKUP("industry|PM25|Premature mortality", US_national_yearly!$D:$AM, 10, FALSE), 1)</f>
        <v>8.2216094211905134E-4</v>
      </c>
      <c r="AA2" s="7">
        <f>$B2 * IFERROR(VLOOKUP("industry|PM25|Premature mortality", US_national_yearly!$D:$AM, 35, FALSE) / VLOOKUP("industry|PM25|Premature mortality", US_national_yearly!$D:$AM, 10, FALSE), 1)</f>
        <v>8.2305453406697688E-4</v>
      </c>
      <c r="AB2" s="7">
        <f>$B2 * IFERROR(VLOOKUP("industry|PM25|Premature mortality", US_national_yearly!$D:$AM, 36, FALSE) / VLOOKUP("industry|PM25|Premature mortality", US_national_yearly!$D:$AM, 10, FALSE), 1)</f>
        <v>8.2394812601490231E-4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1.5161681025048315E-6</v>
      </c>
      <c r="C3" s="7">
        <f>$B3 * IFERROR(VLOOKUP("industry|PM25|Infant mortality", US_national_yearly!$D:$AM, 11, FALSE) / VLOOKUP("industry|PM25|Infant mortality", US_national_yearly!$D:$AM, 10, FALSE), 1)</f>
        <v>1.5029670560064804E-6</v>
      </c>
      <c r="D3" s="7">
        <f>$B3 * IFERROR(VLOOKUP("industry|PM25|Infant mortality", US_national_yearly!$D:$AM, 12, FALSE) / VLOOKUP("industry|PM25|Infant mortality", US_national_yearly!$D:$AM, 10, FALSE), 1)</f>
        <v>1.4897660095081291E-6</v>
      </c>
      <c r="E3" s="7">
        <f>$B3 * IFERROR(VLOOKUP("industry|PM25|Infant mortality", US_national_yearly!$D:$AM, 13, FALSE) / VLOOKUP("industry|PM25|Infant mortality", US_national_yearly!$D:$AM, 10, FALSE), 1)</f>
        <v>1.4765649630097776E-6</v>
      </c>
      <c r="F3" s="7">
        <f>$B3 * IFERROR(VLOOKUP("industry|PM25|Infant mortality", US_national_yearly!$D:$AM, 14, FALSE) / VLOOKUP("industry|PM25|Infant mortality", US_national_yearly!$D:$AM, 10, FALSE), 1)</f>
        <v>1.4633639165114264E-6</v>
      </c>
      <c r="G3" s="7">
        <f>$B3 * IFERROR(VLOOKUP("industry|PM25|Infant mortality", US_national_yearly!$D:$AM, 15, FALSE) / VLOOKUP("industry|PM25|Infant mortality", US_national_yearly!$D:$AM, 10, FALSE), 1)</f>
        <v>9.7231020823064661E-7</v>
      </c>
      <c r="H3" s="7">
        <f>$B3 * IFERROR(VLOOKUP("industry|PM25|Infant mortality", US_national_yearly!$D:$AM, 16, FALSE) / VLOOKUP("industry|PM25|Infant mortality", US_national_yearly!$D:$AM, 10, FALSE), 1)</f>
        <v>4.8125649994986668E-7</v>
      </c>
      <c r="I3" s="7">
        <f>$B3 * IFERROR(VLOOKUP("industry|PM25|Infant mortality", US_national_yearly!$D:$AM, 17, FALSE) / VLOOKUP("industry|PM25|Infant mortality", US_national_yearly!$D:$AM, 10, FALSE), 1)</f>
        <v>4.780532632729768E-7</v>
      </c>
      <c r="J3" s="7">
        <f>$B3 * IFERROR(VLOOKUP("industry|PM25|Infant mortality", US_national_yearly!$D:$AM, 18, FALSE) / VLOOKUP("industry|PM25|Infant mortality", US_national_yearly!$D:$AM, 10, FALSE), 1)</f>
        <v>4.7485002659608682E-7</v>
      </c>
      <c r="K3" s="7">
        <f>$B3 * IFERROR(VLOOKUP("industry|PM25|Infant mortality", US_national_yearly!$D:$AM, 19, FALSE) / VLOOKUP("industry|PM25|Infant mortality", US_national_yearly!$D:$AM, 10, FALSE), 1)</f>
        <v>4.7164678991919689E-7</v>
      </c>
      <c r="L3" s="7">
        <f>$B3 * IFERROR(VLOOKUP("industry|PM25|Infant mortality", US_national_yearly!$D:$AM, 20, FALSE) / VLOOKUP("industry|PM25|Infant mortality", US_national_yearly!$D:$AM, 10, FALSE), 1)</f>
        <v>4.6844355324230685E-7</v>
      </c>
      <c r="M3" s="7">
        <f>$B3 * IFERROR(VLOOKUP("industry|PM25|Infant mortality", US_national_yearly!$D:$AM, 21, FALSE) / VLOOKUP("industry|PM25|Infant mortality", US_national_yearly!$D:$AM, 10, FALSE), 1)</f>
        <v>4.6524031656541698E-7</v>
      </c>
      <c r="N3" s="7">
        <f>$B3 * IFERROR(VLOOKUP("industry|PM25|Infant mortality", US_national_yearly!$D:$AM, 22, FALSE) / VLOOKUP("industry|PM25|Infant mortality", US_national_yearly!$D:$AM, 10, FALSE), 1)</f>
        <v>4.6319633963714551E-7</v>
      </c>
      <c r="O3" s="7">
        <f>$B3 * IFERROR(VLOOKUP("industry|PM25|Infant mortality", US_national_yearly!$D:$AM, 23, FALSE) / VLOOKUP("industry|PM25|Infant mortality", US_national_yearly!$D:$AM, 10, FALSE), 1)</f>
        <v>4.6115236270887411E-7</v>
      </c>
      <c r="P3" s="7">
        <f>$B3 * IFERROR(VLOOKUP("industry|PM25|Infant mortality", US_national_yearly!$D:$AM, 24, FALSE) / VLOOKUP("industry|PM25|Infant mortality", US_national_yearly!$D:$AM, 10, FALSE), 1)</f>
        <v>4.591083857806028E-7</v>
      </c>
      <c r="Q3" s="7">
        <f>$B3 * IFERROR(VLOOKUP("industry|PM25|Infant mortality", US_national_yearly!$D:$AM, 25, FALSE) / VLOOKUP("industry|PM25|Infant mortality", US_national_yearly!$D:$AM, 10, FALSE), 1)</f>
        <v>4.570644088523314E-7</v>
      </c>
      <c r="R3" s="7">
        <f>$B3 * IFERROR(VLOOKUP("industry|PM25|Infant mortality", US_national_yearly!$D:$AM, 26, FALSE) / VLOOKUP("industry|PM25|Infant mortality", US_national_yearly!$D:$AM, 10, FALSE), 1)</f>
        <v>4.5502043192405999E-7</v>
      </c>
      <c r="S3" s="7">
        <f>$B3 * IFERROR(VLOOKUP("industry|PM25|Infant mortality", US_national_yearly!$D:$AM, 27, FALSE) / VLOOKUP("industry|PM25|Infant mortality", US_national_yearly!$D:$AM, 10, FALSE), 1)</f>
        <v>4.5250652485371854E-7</v>
      </c>
      <c r="T3" s="7">
        <f>$B3 * IFERROR(VLOOKUP("industry|PM25|Infant mortality", US_national_yearly!$D:$AM, 28, FALSE) / VLOOKUP("industry|PM25|Infant mortality", US_national_yearly!$D:$AM, 10, FALSE), 1)</f>
        <v>4.4999261778337714E-7</v>
      </c>
      <c r="U3" s="7">
        <f>$B3 * IFERROR(VLOOKUP("industry|PM25|Infant mortality", US_national_yearly!$D:$AM, 29, FALSE) / VLOOKUP("industry|PM25|Infant mortality", US_national_yearly!$D:$AM, 10, FALSE), 1)</f>
        <v>4.4747871071303563E-7</v>
      </c>
      <c r="V3" s="7">
        <f>$B3 * IFERROR(VLOOKUP("industry|PM25|Infant mortality", US_national_yearly!$D:$AM, 30, FALSE) / VLOOKUP("industry|PM25|Infant mortality", US_national_yearly!$D:$AM, 10, FALSE), 1)</f>
        <v>4.4496480364269423E-7</v>
      </c>
      <c r="W3" s="7">
        <f>$B3 * IFERROR(VLOOKUP("industry|PM25|Infant mortality", US_national_yearly!$D:$AM, 31, FALSE) / VLOOKUP("industry|PM25|Infant mortality", US_national_yearly!$D:$AM, 10, FALSE), 1)</f>
        <v>4.4245089657235283E-7</v>
      </c>
      <c r="X3" s="7">
        <f>$B3 * IFERROR(VLOOKUP("industry|PM25|Infant mortality", US_national_yearly!$D:$AM, 32, FALSE) / VLOOKUP("industry|PM25|Infant mortality", US_national_yearly!$D:$AM, 10, FALSE), 1)</f>
        <v>4.3976447186641071E-7</v>
      </c>
      <c r="Y3" s="7">
        <f>$B3 * IFERROR(VLOOKUP("industry|PM25|Infant mortality", US_national_yearly!$D:$AM, 33, FALSE) / VLOOKUP("industry|PM25|Infant mortality", US_national_yearly!$D:$AM, 10, FALSE), 1)</f>
        <v>4.3707804716046859E-7</v>
      </c>
      <c r="Z3" s="7">
        <f>$B3 * IFERROR(VLOOKUP("industry|PM25|Infant mortality", US_national_yearly!$D:$AM, 34, FALSE) / VLOOKUP("industry|PM25|Infant mortality", US_national_yearly!$D:$AM, 10, FALSE), 1)</f>
        <v>4.3439162245452648E-7</v>
      </c>
      <c r="AA3" s="7">
        <f>$B3 * IFERROR(VLOOKUP("industry|PM25|Infant mortality", US_national_yearly!$D:$AM, 35, FALSE) / VLOOKUP("industry|PM25|Infant mortality", US_national_yearly!$D:$AM, 10, FALSE), 1)</f>
        <v>4.3170519774858436E-7</v>
      </c>
      <c r="AB3" s="7">
        <f>$B3 * IFERROR(VLOOKUP("industry|PM25|Infant mortality", US_national_yearly!$D:$AM, 36, FALSE) / VLOOKUP("industry|PM25|Infant mortality", US_national_yearly!$D:$AM, 10, FALSE), 1)</f>
        <v>4.2901877304264224E-7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1.7919036330368155E-3</v>
      </c>
      <c r="C6" s="7">
        <f>$B6 * IFERROR(VLOOKUP("industry|PM25|Asthma symptoms cough", US_national_yearly!$D:$AM, 11, FALSE) / VLOOKUP("industry|PM25|Asthma symptoms cough", US_national_yearly!$D:$AM, 10, FALSE), 1)</f>
        <v>1.7919036330368155E-3</v>
      </c>
      <c r="D6" s="7">
        <f>$B6 * IFERROR(VLOOKUP("industry|PM25|Asthma symptoms cough", US_national_yearly!$D:$AM, 12, FALSE) / VLOOKUP("industry|PM25|Asthma symptoms cough", US_national_yearly!$D:$AM, 10, FALSE), 1)</f>
        <v>1.7919036330368155E-3</v>
      </c>
      <c r="E6" s="7">
        <f>$B6 * IFERROR(VLOOKUP("industry|PM25|Asthma symptoms cough", US_national_yearly!$D:$AM, 13, FALSE) / VLOOKUP("industry|PM25|Asthma symptoms cough", US_national_yearly!$D:$AM, 10, FALSE), 1)</f>
        <v>1.7919036330368155E-3</v>
      </c>
      <c r="F6" s="7">
        <f>$B6 * IFERROR(VLOOKUP("industry|PM25|Asthma symptoms cough", US_national_yearly!$D:$AM, 14, FALSE) / VLOOKUP("industry|PM25|Asthma symptoms cough", US_national_yearly!$D:$AM, 10, FALSE), 1)</f>
        <v>1.7919036330368155E-3</v>
      </c>
      <c r="G6" s="7">
        <f>$B6 * IFERROR(VLOOKUP("industry|PM25|Asthma symptoms cough", US_national_yearly!$D:$AM, 15, FALSE) / VLOOKUP("industry|PM25|Asthma symptoms cough", US_national_yearly!$D:$AM, 10, FALSE), 1)</f>
        <v>1.7919036330368155E-3</v>
      </c>
      <c r="H6" s="7">
        <f>$B6 * IFERROR(VLOOKUP("industry|PM25|Asthma symptoms cough", US_national_yearly!$D:$AM, 16, FALSE) / VLOOKUP("industry|PM25|Asthma symptoms cough", US_national_yearly!$D:$AM, 10, FALSE), 1)</f>
        <v>1.7919036330368155E-3</v>
      </c>
      <c r="I6" s="7">
        <f>$B6 * IFERROR(VLOOKUP("industry|PM25|Asthma symptoms cough", US_national_yearly!$D:$AM, 17, FALSE) / VLOOKUP("industry|PM25|Asthma symptoms cough", US_national_yearly!$D:$AM, 10, FALSE), 1)</f>
        <v>1.7919036330368155E-3</v>
      </c>
      <c r="J6" s="7">
        <f>$B6 * IFERROR(VLOOKUP("industry|PM25|Asthma symptoms cough", US_national_yearly!$D:$AM, 18, FALSE) / VLOOKUP("industry|PM25|Asthma symptoms cough", US_national_yearly!$D:$AM, 10, FALSE), 1)</f>
        <v>1.7919036330368155E-3</v>
      </c>
      <c r="K6" s="7">
        <f>$B6 * IFERROR(VLOOKUP("industry|PM25|Asthma symptoms cough", US_national_yearly!$D:$AM, 19, FALSE) / VLOOKUP("industry|PM25|Asthma symptoms cough", US_national_yearly!$D:$AM, 10, FALSE), 1)</f>
        <v>1.7919036330368155E-3</v>
      </c>
      <c r="L6" s="7">
        <f>$B6 * IFERROR(VLOOKUP("industry|PM25|Asthma symptoms cough", US_national_yearly!$D:$AM, 20, FALSE) / VLOOKUP("industry|PM25|Asthma symptoms cough", US_national_yearly!$D:$AM, 10, FALSE), 1)</f>
        <v>1.7919036330368155E-3</v>
      </c>
      <c r="M6" s="7">
        <f>$B6 * IFERROR(VLOOKUP("industry|PM25|Asthma symptoms cough", US_national_yearly!$D:$AM, 21, FALSE) / VLOOKUP("industry|PM25|Asthma symptoms cough", US_national_yearly!$D:$AM, 10, FALSE), 1)</f>
        <v>1.7919036330368155E-3</v>
      </c>
      <c r="N6" s="7">
        <f>$B6 * IFERROR(VLOOKUP("industry|PM25|Asthma symptoms cough", US_national_yearly!$D:$AM, 22, FALSE) / VLOOKUP("industry|PM25|Asthma symptoms cough", US_national_yearly!$D:$AM, 10, FALSE), 1)</f>
        <v>1.7919036330368155E-3</v>
      </c>
      <c r="O6" s="7">
        <f>$B6 * IFERROR(VLOOKUP("industry|PM25|Asthma symptoms cough", US_national_yearly!$D:$AM, 23, FALSE) / VLOOKUP("industry|PM25|Asthma symptoms cough", US_national_yearly!$D:$AM, 10, FALSE), 1)</f>
        <v>1.7919036330368155E-3</v>
      </c>
      <c r="P6" s="7">
        <f>$B6 * IFERROR(VLOOKUP("industry|PM25|Asthma symptoms cough", US_national_yearly!$D:$AM, 24, FALSE) / VLOOKUP("industry|PM25|Asthma symptoms cough", US_national_yearly!$D:$AM, 10, FALSE), 1)</f>
        <v>1.7919036330368155E-3</v>
      </c>
      <c r="Q6" s="7">
        <f>$B6 * IFERROR(VLOOKUP("industry|PM25|Asthma symptoms cough", US_national_yearly!$D:$AM, 25, FALSE) / VLOOKUP("industry|PM25|Asthma symptoms cough", US_national_yearly!$D:$AM, 10, FALSE), 1)</f>
        <v>1.7919036330368155E-3</v>
      </c>
      <c r="R6" s="7">
        <f>$B6 * IFERROR(VLOOKUP("industry|PM25|Asthma symptoms cough", US_national_yearly!$D:$AM, 26, FALSE) / VLOOKUP("industry|PM25|Asthma symptoms cough", US_national_yearly!$D:$AM, 10, FALSE), 1)</f>
        <v>1.7919036330368155E-3</v>
      </c>
      <c r="S6" s="7">
        <f>$B6 * IFERROR(VLOOKUP("industry|PM25|Asthma symptoms cough", US_national_yearly!$D:$AM, 27, FALSE) / VLOOKUP("industry|PM25|Asthma symptoms cough", US_national_yearly!$D:$AM, 10, FALSE), 1)</f>
        <v>1.7919036330368155E-3</v>
      </c>
      <c r="T6" s="7">
        <f>$B6 * IFERROR(VLOOKUP("industry|PM25|Asthma symptoms cough", US_national_yearly!$D:$AM, 28, FALSE) / VLOOKUP("industry|PM25|Asthma symptoms cough", US_national_yearly!$D:$AM, 10, FALSE), 1)</f>
        <v>1.7919036330368155E-3</v>
      </c>
      <c r="U6" s="7">
        <f>$B6 * IFERROR(VLOOKUP("industry|PM25|Asthma symptoms cough", US_national_yearly!$D:$AM, 29, FALSE) / VLOOKUP("industry|PM25|Asthma symptoms cough", US_national_yearly!$D:$AM, 10, FALSE), 1)</f>
        <v>1.7919036330368155E-3</v>
      </c>
      <c r="V6" s="7">
        <f>$B6 * IFERROR(VLOOKUP("industry|PM25|Asthma symptoms cough", US_national_yearly!$D:$AM, 30, FALSE) / VLOOKUP("industry|PM25|Asthma symptoms cough", US_national_yearly!$D:$AM, 10, FALSE), 1)</f>
        <v>1.7919036330368155E-3</v>
      </c>
      <c r="W6" s="7">
        <f>$B6 * IFERROR(VLOOKUP("industry|PM25|Asthma symptoms cough", US_national_yearly!$D:$AM, 31, FALSE) / VLOOKUP("industry|PM25|Asthma symptoms cough", US_national_yearly!$D:$AM, 10, FALSE), 1)</f>
        <v>1.7919036330368155E-3</v>
      </c>
      <c r="X6" s="7">
        <f>$B6 * IFERROR(VLOOKUP("industry|PM25|Asthma symptoms cough", US_national_yearly!$D:$AM, 32, FALSE) / VLOOKUP("industry|PM25|Asthma symptoms cough", US_national_yearly!$D:$AM, 10, FALSE), 1)</f>
        <v>1.7919036330368155E-3</v>
      </c>
      <c r="Y6" s="7">
        <f>$B6 * IFERROR(VLOOKUP("industry|PM25|Asthma symptoms cough", US_national_yearly!$D:$AM, 33, FALSE) / VLOOKUP("industry|PM25|Asthma symptoms cough", US_national_yearly!$D:$AM, 10, FALSE), 1)</f>
        <v>1.7919036330368155E-3</v>
      </c>
      <c r="Z6" s="7">
        <f>$B6 * IFERROR(VLOOKUP("industry|PM25|Asthma symptoms cough", US_national_yearly!$D:$AM, 34, FALSE) / VLOOKUP("industry|PM25|Asthma symptoms cough", US_national_yearly!$D:$AM, 10, FALSE), 1)</f>
        <v>1.7919036330368155E-3</v>
      </c>
      <c r="AA6" s="7">
        <f>$B6 * IFERROR(VLOOKUP("industry|PM25|Asthma symptoms cough", US_national_yearly!$D:$AM, 35, FALSE) / VLOOKUP("industry|PM25|Asthma symptoms cough", US_national_yearly!$D:$AM, 10, FALSE), 1)</f>
        <v>1.7919036330368155E-3</v>
      </c>
      <c r="AB6" s="7">
        <f>$B6 * IFERROR(VLOOKUP("industry|PM25|Asthma symptoms cough", US_national_yearly!$D:$AM, 36, FALSE) / VLOOKUP("industry|PM25|Asthma symptoms cough", US_national_yearly!$D:$AM, 10, FALSE), 1)</f>
        <v>1.7919036330368155E-3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2.4130298680290576E-3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2.4130298680290576E-3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2.4130298680290576E-3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2.4130298680290576E-3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2.4130298680290576E-3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2.4130298680290576E-3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2.4130298680290576E-3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2.4130298680290576E-3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2.4130298680290576E-3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2.4130298680290576E-3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2.4130298680290576E-3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2.4130298680290576E-3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2.4130298680290576E-3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2.4130298680290576E-3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2.4130298680290576E-3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2.4130298680290576E-3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2.4130298680290576E-3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2.4130298680290576E-3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2.4130298680290576E-3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2.4130298680290576E-3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2.4130298680290576E-3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2.4130298680290576E-3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2.4130298680290576E-3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2.4130298680290576E-3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2.4130298680290576E-3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2.4130298680290576E-3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2.4130298680290576E-3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3.6868019238718128E-3</v>
      </c>
      <c r="C8" s="7">
        <f>$B8 * IFERROR(VLOOKUP("industry|PM25|Asthma symptoms wheeze", US_national_yearly!$D:$AM, 11, FALSE) / VLOOKUP("industry|PM25|Asthma symptoms wheeze", US_national_yearly!$D:$AM, 10, FALSE), 1)</f>
        <v>3.6868019238718128E-3</v>
      </c>
      <c r="D8" s="7">
        <f>$B8 * IFERROR(VLOOKUP("industry|PM25|Asthma symptoms wheeze", US_national_yearly!$D:$AM, 12, FALSE) / VLOOKUP("industry|PM25|Asthma symptoms wheeze", US_national_yearly!$D:$AM, 10, FALSE), 1)</f>
        <v>3.6868019238718128E-3</v>
      </c>
      <c r="E8" s="7">
        <f>$B8 * IFERROR(VLOOKUP("industry|PM25|Asthma symptoms wheeze", US_national_yearly!$D:$AM, 13, FALSE) / VLOOKUP("industry|PM25|Asthma symptoms wheeze", US_national_yearly!$D:$AM, 10, FALSE), 1)</f>
        <v>3.6868019238718128E-3</v>
      </c>
      <c r="F8" s="7">
        <f>$B8 * IFERROR(VLOOKUP("industry|PM25|Asthma symptoms wheeze", US_national_yearly!$D:$AM, 14, FALSE) / VLOOKUP("industry|PM25|Asthma symptoms wheeze", US_national_yearly!$D:$AM, 10, FALSE), 1)</f>
        <v>3.6868019238718128E-3</v>
      </c>
      <c r="G8" s="7">
        <f>$B8 * IFERROR(VLOOKUP("industry|PM25|Asthma symptoms wheeze", US_national_yearly!$D:$AM, 15, FALSE) / VLOOKUP("industry|PM25|Asthma symptoms wheeze", US_national_yearly!$D:$AM, 10, FALSE), 1)</f>
        <v>3.6868019238718128E-3</v>
      </c>
      <c r="H8" s="7">
        <f>$B8 * IFERROR(VLOOKUP("industry|PM25|Asthma symptoms wheeze", US_national_yearly!$D:$AM, 16, FALSE) / VLOOKUP("industry|PM25|Asthma symptoms wheeze", US_national_yearly!$D:$AM, 10, FALSE), 1)</f>
        <v>3.6868019238718128E-3</v>
      </c>
      <c r="I8" s="7">
        <f>$B8 * IFERROR(VLOOKUP("industry|PM25|Asthma symptoms wheeze", US_national_yearly!$D:$AM, 17, FALSE) / VLOOKUP("industry|PM25|Asthma symptoms wheeze", US_national_yearly!$D:$AM, 10, FALSE), 1)</f>
        <v>3.6868019238718128E-3</v>
      </c>
      <c r="J8" s="7">
        <f>$B8 * IFERROR(VLOOKUP("industry|PM25|Asthma symptoms wheeze", US_national_yearly!$D:$AM, 18, FALSE) / VLOOKUP("industry|PM25|Asthma symptoms wheeze", US_national_yearly!$D:$AM, 10, FALSE), 1)</f>
        <v>3.6868019238718128E-3</v>
      </c>
      <c r="K8" s="7">
        <f>$B8 * IFERROR(VLOOKUP("industry|PM25|Asthma symptoms wheeze", US_national_yearly!$D:$AM, 19, FALSE) / VLOOKUP("industry|PM25|Asthma symptoms wheeze", US_national_yearly!$D:$AM, 10, FALSE), 1)</f>
        <v>3.6868019238718128E-3</v>
      </c>
      <c r="L8" s="7">
        <f>$B8 * IFERROR(VLOOKUP("industry|PM25|Asthma symptoms wheeze", US_national_yearly!$D:$AM, 20, FALSE) / VLOOKUP("industry|PM25|Asthma symptoms wheeze", US_national_yearly!$D:$AM, 10, FALSE), 1)</f>
        <v>3.6868019238718128E-3</v>
      </c>
      <c r="M8" s="7">
        <f>$B8 * IFERROR(VLOOKUP("industry|PM25|Asthma symptoms wheeze", US_national_yearly!$D:$AM, 21, FALSE) / VLOOKUP("industry|PM25|Asthma symptoms wheeze", US_national_yearly!$D:$AM, 10, FALSE), 1)</f>
        <v>3.6868019238718128E-3</v>
      </c>
      <c r="N8" s="7">
        <f>$B8 * IFERROR(VLOOKUP("industry|PM25|Asthma symptoms wheeze", US_national_yearly!$D:$AM, 22, FALSE) / VLOOKUP("industry|PM25|Asthma symptoms wheeze", US_national_yearly!$D:$AM, 10, FALSE), 1)</f>
        <v>3.6868019238718128E-3</v>
      </c>
      <c r="O8" s="7">
        <f>$B8 * IFERROR(VLOOKUP("industry|PM25|Asthma symptoms wheeze", US_national_yearly!$D:$AM, 23, FALSE) / VLOOKUP("industry|PM25|Asthma symptoms wheeze", US_national_yearly!$D:$AM, 10, FALSE), 1)</f>
        <v>3.6868019238718128E-3</v>
      </c>
      <c r="P8" s="7">
        <f>$B8 * IFERROR(VLOOKUP("industry|PM25|Asthma symptoms wheeze", US_national_yearly!$D:$AM, 24, FALSE) / VLOOKUP("industry|PM25|Asthma symptoms wheeze", US_national_yearly!$D:$AM, 10, FALSE), 1)</f>
        <v>3.6868019238718128E-3</v>
      </c>
      <c r="Q8" s="7">
        <f>$B8 * IFERROR(VLOOKUP("industry|PM25|Asthma symptoms wheeze", US_national_yearly!$D:$AM, 25, FALSE) / VLOOKUP("industry|PM25|Asthma symptoms wheeze", US_national_yearly!$D:$AM, 10, FALSE), 1)</f>
        <v>3.6868019238718128E-3</v>
      </c>
      <c r="R8" s="7">
        <f>$B8 * IFERROR(VLOOKUP("industry|PM25|Asthma symptoms wheeze", US_national_yearly!$D:$AM, 26, FALSE) / VLOOKUP("industry|PM25|Asthma symptoms wheeze", US_national_yearly!$D:$AM, 10, FALSE), 1)</f>
        <v>3.6868019238718128E-3</v>
      </c>
      <c r="S8" s="7">
        <f>$B8 * IFERROR(VLOOKUP("industry|PM25|Asthma symptoms wheeze", US_national_yearly!$D:$AM, 27, FALSE) / VLOOKUP("industry|PM25|Asthma symptoms wheeze", US_national_yearly!$D:$AM, 10, FALSE), 1)</f>
        <v>3.6868019238718128E-3</v>
      </c>
      <c r="T8" s="7">
        <f>$B8 * IFERROR(VLOOKUP("industry|PM25|Asthma symptoms wheeze", US_national_yearly!$D:$AM, 28, FALSE) / VLOOKUP("industry|PM25|Asthma symptoms wheeze", US_national_yearly!$D:$AM, 10, FALSE), 1)</f>
        <v>3.6868019238718128E-3</v>
      </c>
      <c r="U8" s="7">
        <f>$B8 * IFERROR(VLOOKUP("industry|PM25|Asthma symptoms wheeze", US_national_yearly!$D:$AM, 29, FALSE) / VLOOKUP("industry|PM25|Asthma symptoms wheeze", US_national_yearly!$D:$AM, 10, FALSE), 1)</f>
        <v>3.6868019238718128E-3</v>
      </c>
      <c r="V8" s="7">
        <f>$B8 * IFERROR(VLOOKUP("industry|PM25|Asthma symptoms wheeze", US_national_yearly!$D:$AM, 30, FALSE) / VLOOKUP("industry|PM25|Asthma symptoms wheeze", US_national_yearly!$D:$AM, 10, FALSE), 1)</f>
        <v>3.6868019238718128E-3</v>
      </c>
      <c r="W8" s="7">
        <f>$B8 * IFERROR(VLOOKUP("industry|PM25|Asthma symptoms wheeze", US_national_yearly!$D:$AM, 31, FALSE) / VLOOKUP("industry|PM25|Asthma symptoms wheeze", US_national_yearly!$D:$AM, 10, FALSE), 1)</f>
        <v>3.6868019238718128E-3</v>
      </c>
      <c r="X8" s="7">
        <f>$B8 * IFERROR(VLOOKUP("industry|PM25|Asthma symptoms wheeze", US_national_yearly!$D:$AM, 32, FALSE) / VLOOKUP("industry|PM25|Asthma symptoms wheeze", US_national_yearly!$D:$AM, 10, FALSE), 1)</f>
        <v>3.6868019238718128E-3</v>
      </c>
      <c r="Y8" s="7">
        <f>$B8 * IFERROR(VLOOKUP("industry|PM25|Asthma symptoms wheeze", US_national_yearly!$D:$AM, 33, FALSE) / VLOOKUP("industry|PM25|Asthma symptoms wheeze", US_national_yearly!$D:$AM, 10, FALSE), 1)</f>
        <v>3.6868019238718128E-3</v>
      </c>
      <c r="Z8" s="7">
        <f>$B8 * IFERROR(VLOOKUP("industry|PM25|Asthma symptoms wheeze", US_national_yearly!$D:$AM, 34, FALSE) / VLOOKUP("industry|PM25|Asthma symptoms wheeze", US_national_yearly!$D:$AM, 10, FALSE), 1)</f>
        <v>3.6868019238718128E-3</v>
      </c>
      <c r="AA8" s="7">
        <f>$B8 * IFERROR(VLOOKUP("industry|PM25|Asthma symptoms wheeze", US_national_yearly!$D:$AM, 35, FALSE) / VLOOKUP("industry|PM25|Asthma symptoms wheeze", US_national_yearly!$D:$AM, 10, FALSE), 1)</f>
        <v>3.6868019238718128E-3</v>
      </c>
      <c r="AB8" s="7">
        <f>$B8 * IFERROR(VLOOKUP("industry|PM25|Asthma symptoms wheeze", US_national_yearly!$D:$AM, 36, FALSE) / VLOOKUP("industry|PM25|Asthma symptoms wheeze", US_national_yearly!$D:$AM, 10, FALSE), 1)</f>
        <v>3.6868019238718128E-3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4.1207289661997506E-5</v>
      </c>
      <c r="C12" s="7">
        <f>$B12 * IFERROR(VLOOKUP("industry|PM25|Respiratory hospital admissions", US_national_yearly!$D:$AM, 11, FALSE) / VLOOKUP("industry|PM25|Respiratory hospital admissions", US_national_yearly!$D:$AM, 10, FALSE), 1)</f>
        <v>4.1441246672250976E-5</v>
      </c>
      <c r="D12" s="7">
        <f>$B12 * IFERROR(VLOOKUP("industry|PM25|Respiratory hospital admissions", US_national_yearly!$D:$AM, 12, FALSE) / VLOOKUP("industry|PM25|Respiratory hospital admissions", US_national_yearly!$D:$AM, 10, FALSE), 1)</f>
        <v>4.1675203682504446E-5</v>
      </c>
      <c r="E12" s="7">
        <f>$B12 * IFERROR(VLOOKUP("industry|PM25|Respiratory hospital admissions", US_national_yearly!$D:$AM, 13, FALSE) / VLOOKUP("industry|PM25|Respiratory hospital admissions", US_national_yearly!$D:$AM, 10, FALSE), 1)</f>
        <v>4.1909160692757916E-5</v>
      </c>
      <c r="F12" s="7">
        <f>$B12 * IFERROR(VLOOKUP("industry|PM25|Respiratory hospital admissions", US_national_yearly!$D:$AM, 14, FALSE) / VLOOKUP("industry|PM25|Respiratory hospital admissions", US_national_yearly!$D:$AM, 10, FALSE), 1)</f>
        <v>4.2143117703011399E-5</v>
      </c>
      <c r="G12" s="7">
        <f>$B12 * IFERROR(VLOOKUP("industry|PM25|Respiratory hospital admissions", US_national_yearly!$D:$AM, 15, FALSE) / VLOOKUP("industry|PM25|Respiratory hospital admissions", US_national_yearly!$D:$AM, 10, FALSE), 1)</f>
        <v>4.2396069360479415E-5</v>
      </c>
      <c r="H12" s="7">
        <f>$B12 * IFERROR(VLOOKUP("industry|PM25|Respiratory hospital admissions", US_national_yearly!$D:$AM, 16, FALSE) / VLOOKUP("industry|PM25|Respiratory hospital admissions", US_national_yearly!$D:$AM, 10, FALSE), 1)</f>
        <v>4.2649021017947444E-5</v>
      </c>
      <c r="I12" s="7">
        <f>$B12 * IFERROR(VLOOKUP("industry|PM25|Respiratory hospital admissions", US_national_yearly!$D:$AM, 17, FALSE) / VLOOKUP("industry|PM25|Respiratory hospital admissions", US_national_yearly!$D:$AM, 10, FALSE), 1)</f>
        <v>4.2888977488005909E-5</v>
      </c>
      <c r="J12" s="7">
        <f>$B12 * IFERROR(VLOOKUP("industry|PM25|Respiratory hospital admissions", US_national_yearly!$D:$AM, 18, FALSE) / VLOOKUP("industry|PM25|Respiratory hospital admissions", US_national_yearly!$D:$AM, 10, FALSE), 1)</f>
        <v>4.3128933958064381E-5</v>
      </c>
      <c r="K12" s="7">
        <f>$B12 * IFERROR(VLOOKUP("industry|PM25|Respiratory hospital admissions", US_national_yearly!$D:$AM, 19, FALSE) / VLOOKUP("industry|PM25|Respiratory hospital admissions", US_national_yearly!$D:$AM, 10, FALSE), 1)</f>
        <v>4.3368890428122839E-5</v>
      </c>
      <c r="L12" s="7">
        <f>$B12 * IFERROR(VLOOKUP("industry|PM25|Respiratory hospital admissions", US_national_yearly!$D:$AM, 20, FALSE) / VLOOKUP("industry|PM25|Respiratory hospital admissions", US_national_yearly!$D:$AM, 10, FALSE), 1)</f>
        <v>4.3608846898181304E-5</v>
      </c>
      <c r="M12" s="7">
        <f>$B12 * IFERROR(VLOOKUP("industry|PM25|Respiratory hospital admissions", US_national_yearly!$D:$AM, 21, FALSE) / VLOOKUP("industry|PM25|Respiratory hospital admissions", US_national_yearly!$D:$AM, 10, FALSE), 1)</f>
        <v>4.3848803368239768E-5</v>
      </c>
      <c r="N12" s="7">
        <f>$B12 * IFERROR(VLOOKUP("industry|PM25|Respiratory hospital admissions", US_national_yearly!$D:$AM, 22, FALSE) / VLOOKUP("industry|PM25|Respiratory hospital admissions", US_national_yearly!$D:$AM, 10, FALSE), 1)</f>
        <v>4.4018517857760205E-5</v>
      </c>
      <c r="O12" s="7">
        <f>$B12 * IFERROR(VLOOKUP("industry|PM25|Respiratory hospital admissions", US_national_yearly!$D:$AM, 23, FALSE) / VLOOKUP("industry|PM25|Respiratory hospital admissions", US_national_yearly!$D:$AM, 10, FALSE), 1)</f>
        <v>4.4188232347280628E-5</v>
      </c>
      <c r="P12" s="7">
        <f>$B12 * IFERROR(VLOOKUP("industry|PM25|Respiratory hospital admissions", US_national_yearly!$D:$AM, 24, FALSE) / VLOOKUP("industry|PM25|Respiratory hospital admissions", US_national_yearly!$D:$AM, 10, FALSE), 1)</f>
        <v>4.4357946836801064E-5</v>
      </c>
      <c r="Q12" s="7">
        <f>$B12 * IFERROR(VLOOKUP("industry|PM25|Respiratory hospital admissions", US_national_yearly!$D:$AM, 25, FALSE) / VLOOKUP("industry|PM25|Respiratory hospital admissions", US_national_yearly!$D:$AM, 10, FALSE), 1)</f>
        <v>4.4527661326321487E-5</v>
      </c>
      <c r="R12" s="7">
        <f>$B12 * IFERROR(VLOOKUP("industry|PM25|Respiratory hospital admissions", US_national_yearly!$D:$AM, 26, FALSE) / VLOOKUP("industry|PM25|Respiratory hospital admissions", US_national_yearly!$D:$AM, 10, FALSE), 1)</f>
        <v>4.4697375815841923E-5</v>
      </c>
      <c r="S12" s="7">
        <f>$B12 * IFERROR(VLOOKUP("industry|PM25|Respiratory hospital admissions", US_national_yearly!$D:$AM, 27, FALSE) / VLOOKUP("industry|PM25|Respiratory hospital admissions", US_national_yearly!$D:$AM, 10, FALSE), 1)</f>
        <v>4.4857446584544079E-5</v>
      </c>
      <c r="T12" s="7">
        <f>$B12 * IFERROR(VLOOKUP("industry|PM25|Respiratory hospital admissions", US_national_yearly!$D:$AM, 28, FALSE) / VLOOKUP("industry|PM25|Respiratory hospital admissions", US_national_yearly!$D:$AM, 10, FALSE), 1)</f>
        <v>4.5017517353246234E-5</v>
      </c>
      <c r="U12" s="7">
        <f>$B12 * IFERROR(VLOOKUP("industry|PM25|Respiratory hospital admissions", US_national_yearly!$D:$AM, 29, FALSE) / VLOOKUP("industry|PM25|Respiratory hospital admissions", US_national_yearly!$D:$AM, 10, FALSE), 1)</f>
        <v>4.5177588121948397E-5</v>
      </c>
      <c r="V12" s="7">
        <f>$B12 * IFERROR(VLOOKUP("industry|PM25|Respiratory hospital admissions", US_national_yearly!$D:$AM, 30, FALSE) / VLOOKUP("industry|PM25|Respiratory hospital admissions", US_national_yearly!$D:$AM, 10, FALSE), 1)</f>
        <v>4.5337658890650553E-5</v>
      </c>
      <c r="W12" s="7">
        <f>$B12 * IFERROR(VLOOKUP("industry|PM25|Respiratory hospital admissions", US_national_yearly!$D:$AM, 31, FALSE) / VLOOKUP("industry|PM25|Respiratory hospital admissions", US_national_yearly!$D:$AM, 10, FALSE), 1)</f>
        <v>4.5497729659352722E-5</v>
      </c>
      <c r="X12" s="7">
        <f>$B12 * IFERROR(VLOOKUP("industry|PM25|Respiratory hospital admissions", US_national_yearly!$D:$AM, 32, FALSE) / VLOOKUP("industry|PM25|Respiratory hospital admissions", US_national_yearly!$D:$AM, 10, FALSE), 1)</f>
        <v>4.5651854537525147E-5</v>
      </c>
      <c r="Y12" s="7">
        <f>$B12 * IFERROR(VLOOKUP("industry|PM25|Respiratory hospital admissions", US_national_yearly!$D:$AM, 33, FALSE) / VLOOKUP("industry|PM25|Respiratory hospital admissions", US_national_yearly!$D:$AM, 10, FALSE), 1)</f>
        <v>4.5805979415697578E-5</v>
      </c>
      <c r="Z12" s="7">
        <f>$B12 * IFERROR(VLOOKUP("industry|PM25|Respiratory hospital admissions", US_national_yearly!$D:$AM, 34, FALSE) / VLOOKUP("industry|PM25|Respiratory hospital admissions", US_national_yearly!$D:$AM, 10, FALSE), 1)</f>
        <v>4.5960104293870009E-5</v>
      </c>
      <c r="AA12" s="7">
        <f>$B12 * IFERROR(VLOOKUP("industry|PM25|Respiratory hospital admissions", US_national_yearly!$D:$AM, 35, FALSE) / VLOOKUP("industry|PM25|Respiratory hospital admissions", US_national_yearly!$D:$AM, 10, FALSE), 1)</f>
        <v>4.6114229172042447E-5</v>
      </c>
      <c r="AB12" s="7">
        <f>$B12 * IFERROR(VLOOKUP("industry|PM25|Respiratory hospital admissions", US_national_yearly!$D:$AM, 36, FALSE) / VLOOKUP("industry|PM25|Respiratory hospital admissions", US_national_yearly!$D:$AM, 10, FALSE), 1)</f>
        <v>4.6268354050214871E-5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1.9838510446564014E-4</v>
      </c>
      <c r="C13" s="7">
        <f>$B13 * IFERROR(VLOOKUP("industry|PM25|Non-fatal heart attacks", US_national_yearly!$D:$AM, 11, FALSE) / VLOOKUP("industry|PM25|Non-fatal heart attacks", US_national_yearly!$D:$AM, 10, FALSE), 1)</f>
        <v>2.0416014687438223E-4</v>
      </c>
      <c r="D13" s="7">
        <f>$B13 * IFERROR(VLOOKUP("industry|PM25|Non-fatal heart attacks", US_national_yearly!$D:$AM, 12, FALSE) / VLOOKUP("industry|PM25|Non-fatal heart attacks", US_national_yearly!$D:$AM, 10, FALSE), 1)</f>
        <v>2.0993518928312426E-4</v>
      </c>
      <c r="E13" s="7">
        <f>$B13 * IFERROR(VLOOKUP("industry|PM25|Non-fatal heart attacks", US_national_yearly!$D:$AM, 13, FALSE) / VLOOKUP("industry|PM25|Non-fatal heart attacks", US_national_yearly!$D:$AM, 10, FALSE), 1)</f>
        <v>2.1571023169186636E-4</v>
      </c>
      <c r="F13" s="7">
        <f>$B13 * IFERROR(VLOOKUP("industry|PM25|Non-fatal heart attacks", US_national_yearly!$D:$AM, 14, FALSE) / VLOOKUP("industry|PM25|Non-fatal heart attacks", US_national_yearly!$D:$AM, 10, FALSE), 1)</f>
        <v>2.2148527410060842E-4</v>
      </c>
      <c r="G13" s="7">
        <f>$B13 * IFERROR(VLOOKUP("industry|PM25|Non-fatal heart attacks", US_national_yearly!$D:$AM, 15, FALSE) / VLOOKUP("industry|PM25|Non-fatal heart attacks", US_national_yearly!$D:$AM, 10, FALSE), 1)</f>
        <v>2.2693732019633624E-4</v>
      </c>
      <c r="H13" s="7">
        <f>$B13 * IFERROR(VLOOKUP("industry|PM25|Non-fatal heart attacks", US_national_yearly!$D:$AM, 16, FALSE) / VLOOKUP("industry|PM25|Non-fatal heart attacks", US_national_yearly!$D:$AM, 10, FALSE), 1)</f>
        <v>2.3238936629206412E-4</v>
      </c>
      <c r="I13" s="7">
        <f>$B13 * IFERROR(VLOOKUP("industry|PM25|Non-fatal heart attacks", US_national_yearly!$D:$AM, 17, FALSE) / VLOOKUP("industry|PM25|Non-fatal heart attacks", US_national_yearly!$D:$AM, 10, FALSE), 1)</f>
        <v>2.3679194386527685E-4</v>
      </c>
      <c r="J13" s="7">
        <f>$B13 * IFERROR(VLOOKUP("industry|PM25|Non-fatal heart attacks", US_national_yearly!$D:$AM, 18, FALSE) / VLOOKUP("industry|PM25|Non-fatal heart attacks", US_national_yearly!$D:$AM, 10, FALSE), 1)</f>
        <v>2.4119452143848958E-4</v>
      </c>
      <c r="K13" s="7">
        <f>$B13 * IFERROR(VLOOKUP("industry|PM25|Non-fatal heart attacks", US_national_yearly!$D:$AM, 19, FALSE) / VLOOKUP("industry|PM25|Non-fatal heart attacks", US_national_yearly!$D:$AM, 10, FALSE), 1)</f>
        <v>2.4559709901170228E-4</v>
      </c>
      <c r="L13" s="7">
        <f>$B13 * IFERROR(VLOOKUP("industry|PM25|Non-fatal heart attacks", US_national_yearly!$D:$AM, 20, FALSE) / VLOOKUP("industry|PM25|Non-fatal heart attacks", US_national_yearly!$D:$AM, 10, FALSE), 1)</f>
        <v>2.4999967658491498E-4</v>
      </c>
      <c r="M13" s="7">
        <f>$B13 * IFERROR(VLOOKUP("industry|PM25|Non-fatal heart attacks", US_national_yearly!$D:$AM, 21, FALSE) / VLOOKUP("industry|PM25|Non-fatal heart attacks", US_national_yearly!$D:$AM, 10, FALSE), 1)</f>
        <v>2.5440225415812768E-4</v>
      </c>
      <c r="N13" s="7">
        <f>$B13 * IFERROR(VLOOKUP("industry|PM25|Non-fatal heart attacks", US_national_yearly!$D:$AM, 22, FALSE) / VLOOKUP("industry|PM25|Non-fatal heart attacks", US_national_yearly!$D:$AM, 10, FALSE), 1)</f>
        <v>2.5724876574283173E-4</v>
      </c>
      <c r="O13" s="7">
        <f>$B13 * IFERROR(VLOOKUP("industry|PM25|Non-fatal heart attacks", US_national_yearly!$D:$AM, 23, FALSE) / VLOOKUP("industry|PM25|Non-fatal heart attacks", US_national_yearly!$D:$AM, 10, FALSE), 1)</f>
        <v>2.6009527732753578E-4</v>
      </c>
      <c r="P13" s="7">
        <f>$B13 * IFERROR(VLOOKUP("industry|PM25|Non-fatal heart attacks", US_national_yearly!$D:$AM, 24, FALSE) / VLOOKUP("industry|PM25|Non-fatal heart attacks", US_national_yearly!$D:$AM, 10, FALSE), 1)</f>
        <v>2.6294178891223978E-4</v>
      </c>
      <c r="Q13" s="7">
        <f>$B13 * IFERROR(VLOOKUP("industry|PM25|Non-fatal heart attacks", US_national_yearly!$D:$AM, 25, FALSE) / VLOOKUP("industry|PM25|Non-fatal heart attacks", US_national_yearly!$D:$AM, 10, FALSE), 1)</f>
        <v>2.6578830049694377E-4</v>
      </c>
      <c r="R13" s="7">
        <f>$B13 * IFERROR(VLOOKUP("industry|PM25|Non-fatal heart attacks", US_national_yearly!$D:$AM, 26, FALSE) / VLOOKUP("industry|PM25|Non-fatal heart attacks", US_national_yearly!$D:$AM, 10, FALSE), 1)</f>
        <v>2.6863481208164782E-4</v>
      </c>
      <c r="S13" s="7">
        <f>$B13 * IFERROR(VLOOKUP("industry|PM25|Non-fatal heart attacks", US_national_yearly!$D:$AM, 27, FALSE) / VLOOKUP("industry|PM25|Non-fatal heart attacks", US_national_yearly!$D:$AM, 10, FALSE), 1)</f>
        <v>2.7015514470631882E-4</v>
      </c>
      <c r="T13" s="7">
        <f>$B13 * IFERROR(VLOOKUP("industry|PM25|Non-fatal heart attacks", US_national_yearly!$D:$AM, 28, FALSE) / VLOOKUP("industry|PM25|Non-fatal heart attacks", US_national_yearly!$D:$AM, 10, FALSE), 1)</f>
        <v>2.7167547733098987E-4</v>
      </c>
      <c r="U13" s="7">
        <f>$B13 * IFERROR(VLOOKUP("industry|PM25|Non-fatal heart attacks", US_national_yearly!$D:$AM, 29, FALSE) / VLOOKUP("industry|PM25|Non-fatal heart attacks", US_national_yearly!$D:$AM, 10, FALSE), 1)</f>
        <v>2.7319580995566087E-4</v>
      </c>
      <c r="V13" s="7">
        <f>$B13 * IFERROR(VLOOKUP("industry|PM25|Non-fatal heart attacks", US_national_yearly!$D:$AM, 30, FALSE) / VLOOKUP("industry|PM25|Non-fatal heart attacks", US_national_yearly!$D:$AM, 10, FALSE), 1)</f>
        <v>2.7471614258033181E-4</v>
      </c>
      <c r="W13" s="7">
        <f>$B13 * IFERROR(VLOOKUP("industry|PM25|Non-fatal heart attacks", US_national_yearly!$D:$AM, 31, FALSE) / VLOOKUP("industry|PM25|Non-fatal heart attacks", US_national_yearly!$D:$AM, 10, FALSE), 1)</f>
        <v>2.7623647520500286E-4</v>
      </c>
      <c r="X13" s="7">
        <f>$B13 * IFERROR(VLOOKUP("industry|PM25|Non-fatal heart attacks", US_national_yearly!$D:$AM, 32, FALSE) / VLOOKUP("industry|PM25|Non-fatal heart attacks", US_national_yearly!$D:$AM, 10, FALSE), 1)</f>
        <v>2.7740985811373057E-4</v>
      </c>
      <c r="Y13" s="7">
        <f>$B13 * IFERROR(VLOOKUP("industry|PM25|Non-fatal heart attacks", US_national_yearly!$D:$AM, 33, FALSE) / VLOOKUP("industry|PM25|Non-fatal heart attacks", US_national_yearly!$D:$AM, 10, FALSE), 1)</f>
        <v>2.7858324102245818E-4</v>
      </c>
      <c r="Z13" s="7">
        <f>$B13 * IFERROR(VLOOKUP("industry|PM25|Non-fatal heart attacks", US_national_yearly!$D:$AM, 34, FALSE) / VLOOKUP("industry|PM25|Non-fatal heart attacks", US_national_yearly!$D:$AM, 10, FALSE), 1)</f>
        <v>2.7975662393118589E-4</v>
      </c>
      <c r="AA13" s="7">
        <f>$B13 * IFERROR(VLOOKUP("industry|PM25|Non-fatal heart attacks", US_national_yearly!$D:$AM, 35, FALSE) / VLOOKUP("industry|PM25|Non-fatal heart attacks", US_national_yearly!$D:$AM, 10, FALSE), 1)</f>
        <v>2.8093000683991355E-4</v>
      </c>
      <c r="AB13" s="7">
        <f>$B13 * IFERROR(VLOOKUP("industry|PM25|Non-fatal heart attacks", US_national_yearly!$D:$AM, 36, FALSE) / VLOOKUP("industry|PM25|Non-fatal heart attacks", US_national_yearly!$D:$AM, 10, FALSE), 1)</f>
        <v>2.8210338974864126E-4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0.20149242204718495</v>
      </c>
      <c r="C14" s="7">
        <f>$B14 * IFERROR(VLOOKUP("industry|PM25|Minor restricted activity days", US_national_yearly!$D:$AM, 11, FALSE) / VLOOKUP("industry|PM25|Minor restricted activity days", US_national_yearly!$D:$AM, 10, FALSE), 1)</f>
        <v>0.20198591038731264</v>
      </c>
      <c r="D14" s="7">
        <f>$B14 * IFERROR(VLOOKUP("industry|PM25|Minor restricted activity days", US_national_yearly!$D:$AM, 12, FALSE) / VLOOKUP("industry|PM25|Minor restricted activity days", US_national_yearly!$D:$AM, 10, FALSE), 1)</f>
        <v>0.20247939872744039</v>
      </c>
      <c r="E14" s="7">
        <f>$B14 * IFERROR(VLOOKUP("industry|PM25|Minor restricted activity days", US_national_yearly!$D:$AM, 13, FALSE) / VLOOKUP("industry|PM25|Minor restricted activity days", US_national_yearly!$D:$AM, 10, FALSE), 1)</f>
        <v>0.20297288706756811</v>
      </c>
      <c r="F14" s="7">
        <f>$B14 * IFERROR(VLOOKUP("industry|PM25|Minor restricted activity days", US_national_yearly!$D:$AM, 14, FALSE) / VLOOKUP("industry|PM25|Minor restricted activity days", US_national_yearly!$D:$AM, 10, FALSE), 1)</f>
        <v>0.2034663754076958</v>
      </c>
      <c r="G14" s="7">
        <f>$B14 * IFERROR(VLOOKUP("industry|PM25|Minor restricted activity days", US_national_yearly!$D:$AM, 15, FALSE) / VLOOKUP("industry|PM25|Minor restricted activity days", US_national_yearly!$D:$AM, 10, FALSE), 1)</f>
        <v>0.20419073608500027</v>
      </c>
      <c r="H14" s="7">
        <f>$B14 * IFERROR(VLOOKUP("industry|PM25|Minor restricted activity days", US_national_yearly!$D:$AM, 16, FALSE) / VLOOKUP("industry|PM25|Minor restricted activity days", US_national_yearly!$D:$AM, 10, FALSE), 1)</f>
        <v>0.20491509676230468</v>
      </c>
      <c r="I14" s="7">
        <f>$B14 * IFERROR(VLOOKUP("industry|PM25|Minor restricted activity days", US_national_yearly!$D:$AM, 17, FALSE) / VLOOKUP("industry|PM25|Minor restricted activity days", US_national_yearly!$D:$AM, 10, FALSE), 1)</f>
        <v>0.20614559930005855</v>
      </c>
      <c r="J14" s="7">
        <f>$B14 * IFERROR(VLOOKUP("industry|PM25|Minor restricted activity days", US_national_yearly!$D:$AM, 18, FALSE) / VLOOKUP("industry|PM25|Minor restricted activity days", US_national_yearly!$D:$AM, 10, FALSE), 1)</f>
        <v>0.20737610183781247</v>
      </c>
      <c r="K14" s="7">
        <f>$B14 * IFERROR(VLOOKUP("industry|PM25|Minor restricted activity days", US_national_yearly!$D:$AM, 19, FALSE) / VLOOKUP("industry|PM25|Minor restricted activity days", US_national_yearly!$D:$AM, 10, FALSE), 1)</f>
        <v>0.20860660437556627</v>
      </c>
      <c r="L14" s="7">
        <f>$B14 * IFERROR(VLOOKUP("industry|PM25|Minor restricted activity days", US_national_yearly!$D:$AM, 20, FALSE) / VLOOKUP("industry|PM25|Minor restricted activity days", US_national_yearly!$D:$AM, 10, FALSE), 1)</f>
        <v>0.20983710691332014</v>
      </c>
      <c r="M14" s="7">
        <f>$B14 * IFERROR(VLOOKUP("industry|PM25|Minor restricted activity days", US_national_yearly!$D:$AM, 21, FALSE) / VLOOKUP("industry|PM25|Minor restricted activity days", US_national_yearly!$D:$AM, 10, FALSE), 1)</f>
        <v>0.211067609451074</v>
      </c>
      <c r="N14" s="7">
        <f>$B14 * IFERROR(VLOOKUP("industry|PM25|Minor restricted activity days", US_national_yearly!$D:$AM, 22, FALSE) / VLOOKUP("industry|PM25|Minor restricted activity days", US_national_yearly!$D:$AM, 10, FALSE), 1)</f>
        <v>0.21274859741861094</v>
      </c>
      <c r="O14" s="7">
        <f>$B14 * IFERROR(VLOOKUP("industry|PM25|Minor restricted activity days", US_national_yearly!$D:$AM, 23, FALSE) / VLOOKUP("industry|PM25|Minor restricted activity days", US_national_yearly!$D:$AM, 10, FALSE), 1)</f>
        <v>0.21442958538614804</v>
      </c>
      <c r="P14" s="7">
        <f>$B14 * IFERROR(VLOOKUP("industry|PM25|Minor restricted activity days", US_national_yearly!$D:$AM, 24, FALSE) / VLOOKUP("industry|PM25|Minor restricted activity days", US_national_yearly!$D:$AM, 10, FALSE), 1)</f>
        <v>0.21611057335368497</v>
      </c>
      <c r="Q14" s="7">
        <f>$B14 * IFERROR(VLOOKUP("industry|PM25|Minor restricted activity days", US_national_yearly!$D:$AM, 25, FALSE) / VLOOKUP("industry|PM25|Minor restricted activity days", US_national_yearly!$D:$AM, 10, FALSE), 1)</f>
        <v>0.21779156132122213</v>
      </c>
      <c r="R14" s="7">
        <f>$B14 * IFERROR(VLOOKUP("industry|PM25|Minor restricted activity days", US_national_yearly!$D:$AM, 26, FALSE) / VLOOKUP("industry|PM25|Minor restricted activity days", US_national_yearly!$D:$AM, 10, FALSE), 1)</f>
        <v>0.21947254928875906</v>
      </c>
      <c r="S14" s="7">
        <f>$B14 * IFERROR(VLOOKUP("industry|PM25|Minor restricted activity days", US_national_yearly!$D:$AM, 27, FALSE) / VLOOKUP("industry|PM25|Minor restricted activity days", US_national_yearly!$D:$AM, 10, FALSE), 1)</f>
        <v>0.22116967539821375</v>
      </c>
      <c r="T14" s="7">
        <f>$B14 * IFERROR(VLOOKUP("industry|PM25|Minor restricted activity days", US_national_yearly!$D:$AM, 28, FALSE) / VLOOKUP("industry|PM25|Minor restricted activity days", US_national_yearly!$D:$AM, 10, FALSE), 1)</f>
        <v>0.22286680150766847</v>
      </c>
      <c r="U14" s="7">
        <f>$B14 * IFERROR(VLOOKUP("industry|PM25|Minor restricted activity days", US_national_yearly!$D:$AM, 29, FALSE) / VLOOKUP("industry|PM25|Minor restricted activity days", US_national_yearly!$D:$AM, 10, FALSE), 1)</f>
        <v>0.22456392761712315</v>
      </c>
      <c r="V14" s="7">
        <f>$B14 * IFERROR(VLOOKUP("industry|PM25|Minor restricted activity days", US_national_yearly!$D:$AM, 30, FALSE) / VLOOKUP("industry|PM25|Minor restricted activity days", US_national_yearly!$D:$AM, 10, FALSE), 1)</f>
        <v>0.22626105372657784</v>
      </c>
      <c r="W14" s="7">
        <f>$B14 * IFERROR(VLOOKUP("industry|PM25|Minor restricted activity days", US_national_yearly!$D:$AM, 31, FALSE) / VLOOKUP("industry|PM25|Minor restricted activity days", US_national_yearly!$D:$AM, 10, FALSE), 1)</f>
        <v>0.22795817983603259</v>
      </c>
      <c r="X14" s="7">
        <f>$B14 * IFERROR(VLOOKUP("industry|PM25|Minor restricted activity days", US_national_yearly!$D:$AM, 32, FALSE) / VLOOKUP("industry|PM25|Minor restricted activity days", US_national_yearly!$D:$AM, 10, FALSE), 1)</f>
        <v>0.22943292027133447</v>
      </c>
      <c r="Y14" s="7">
        <f>$B14 * IFERROR(VLOOKUP("industry|PM25|Minor restricted activity days", US_national_yearly!$D:$AM, 33, FALSE) / VLOOKUP("industry|PM25|Minor restricted activity days", US_national_yearly!$D:$AM, 10, FALSE), 1)</f>
        <v>0.23090766070663638</v>
      </c>
      <c r="Z14" s="7">
        <f>$B14 * IFERROR(VLOOKUP("industry|PM25|Minor restricted activity days", US_national_yearly!$D:$AM, 34, FALSE) / VLOOKUP("industry|PM25|Minor restricted activity days", US_national_yearly!$D:$AM, 10, FALSE), 1)</f>
        <v>0.23238240114193828</v>
      </c>
      <c r="AA14" s="7">
        <f>$B14 * IFERROR(VLOOKUP("industry|PM25|Minor restricted activity days", US_national_yearly!$D:$AM, 35, FALSE) / VLOOKUP("industry|PM25|Minor restricted activity days", US_national_yearly!$D:$AM, 10, FALSE), 1)</f>
        <v>0.23385714157724022</v>
      </c>
      <c r="AB14" s="7">
        <f>$B14 * IFERROR(VLOOKUP("industry|PM25|Minor restricted activity days", US_national_yearly!$D:$AM, 36, FALSE) / VLOOKUP("industry|PM25|Minor restricted activity days", US_national_yearly!$D:$AM, 10, FALSE), 1)</f>
        <v>0.23533188201254213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3.4223317748224839E-2</v>
      </c>
      <c r="C15" s="7">
        <f>$B15 * IFERROR(VLOOKUP("industry|PM25|Work loss days", US_national_yearly!$D:$AM, 11, FALSE) / VLOOKUP("industry|PM25|Work loss days", US_national_yearly!$D:$AM, 10, FALSE), 1)</f>
        <v>3.4329423773889839E-2</v>
      </c>
      <c r="D15" s="7">
        <f>$B15 * IFERROR(VLOOKUP("industry|PM25|Work loss days", US_national_yearly!$D:$AM, 12, FALSE) / VLOOKUP("industry|PM25|Work loss days", US_national_yearly!$D:$AM, 10, FALSE), 1)</f>
        <v>3.4435529799554838E-2</v>
      </c>
      <c r="E15" s="7">
        <f>$B15 * IFERROR(VLOOKUP("industry|PM25|Work loss days", US_national_yearly!$D:$AM, 13, FALSE) / VLOOKUP("industry|PM25|Work loss days", US_national_yearly!$D:$AM, 10, FALSE), 1)</f>
        <v>3.4541635825219831E-2</v>
      </c>
      <c r="F15" s="7">
        <f>$B15 * IFERROR(VLOOKUP("industry|PM25|Work loss days", US_national_yearly!$D:$AM, 14, FALSE) / VLOOKUP("industry|PM25|Work loss days", US_national_yearly!$D:$AM, 10, FALSE), 1)</f>
        <v>3.4647741850884831E-2</v>
      </c>
      <c r="G15" s="7">
        <f>$B15 * IFERROR(VLOOKUP("industry|PM25|Work loss days", US_national_yearly!$D:$AM, 15, FALSE) / VLOOKUP("industry|PM25|Work loss days", US_national_yearly!$D:$AM, 10, FALSE), 1)</f>
        <v>3.4786267913226039E-2</v>
      </c>
      <c r="H15" s="7">
        <f>$B15 * IFERROR(VLOOKUP("industry|PM25|Work loss days", US_national_yearly!$D:$AM, 16, FALSE) / VLOOKUP("industry|PM25|Work loss days", US_national_yearly!$D:$AM, 10, FALSE), 1)</f>
        <v>3.4924793975567248E-2</v>
      </c>
      <c r="I15" s="7">
        <f>$B15 * IFERROR(VLOOKUP("industry|PM25|Work loss days", US_national_yearly!$D:$AM, 17, FALSE) / VLOOKUP("industry|PM25|Work loss days", US_national_yearly!$D:$AM, 10, FALSE), 1)</f>
        <v>3.5127640218668162E-2</v>
      </c>
      <c r="J15" s="7">
        <f>$B15 * IFERROR(VLOOKUP("industry|PM25|Work loss days", US_national_yearly!$D:$AM, 18, FALSE) / VLOOKUP("industry|PM25|Work loss days", US_national_yearly!$D:$AM, 10, FALSE), 1)</f>
        <v>3.5330486461769069E-2</v>
      </c>
      <c r="K15" s="7">
        <f>$B15 * IFERROR(VLOOKUP("industry|PM25|Work loss days", US_national_yearly!$D:$AM, 19, FALSE) / VLOOKUP("industry|PM25|Work loss days", US_national_yearly!$D:$AM, 10, FALSE), 1)</f>
        <v>3.5533332704869976E-2</v>
      </c>
      <c r="L15" s="7">
        <f>$B15 * IFERROR(VLOOKUP("industry|PM25|Work loss days", US_national_yearly!$D:$AM, 20, FALSE) / VLOOKUP("industry|PM25|Work loss days", US_national_yearly!$D:$AM, 10, FALSE), 1)</f>
        <v>3.573617894797089E-2</v>
      </c>
      <c r="M15" s="7">
        <f>$B15 * IFERROR(VLOOKUP("industry|PM25|Work loss days", US_national_yearly!$D:$AM, 21, FALSE) / VLOOKUP("industry|PM25|Work loss days", US_national_yearly!$D:$AM, 10, FALSE), 1)</f>
        <v>3.5939025191071804E-2</v>
      </c>
      <c r="N15" s="7">
        <f>$B15 * IFERROR(VLOOKUP("industry|PM25|Work loss days", US_national_yearly!$D:$AM, 22, FALSE) / VLOOKUP("industry|PM25|Work loss days", US_national_yearly!$D:$AM, 10, FALSE), 1)</f>
        <v>3.6194990524696082E-2</v>
      </c>
      <c r="O15" s="7">
        <f>$B15 * IFERROR(VLOOKUP("industry|PM25|Work loss days", US_national_yearly!$D:$AM, 23, FALSE) / VLOOKUP("industry|PM25|Work loss days", US_national_yearly!$D:$AM, 10, FALSE), 1)</f>
        <v>3.6450955858320359E-2</v>
      </c>
      <c r="P15" s="7">
        <f>$B15 * IFERROR(VLOOKUP("industry|PM25|Work loss days", US_national_yearly!$D:$AM, 24, FALSE) / VLOOKUP("industry|PM25|Work loss days", US_national_yearly!$D:$AM, 10, FALSE), 1)</f>
        <v>3.670692119194463E-2</v>
      </c>
      <c r="Q15" s="7">
        <f>$B15 * IFERROR(VLOOKUP("industry|PM25|Work loss days", US_national_yearly!$D:$AM, 25, FALSE) / VLOOKUP("industry|PM25|Work loss days", US_national_yearly!$D:$AM, 10, FALSE), 1)</f>
        <v>3.6962886525568908E-2</v>
      </c>
      <c r="R15" s="7">
        <f>$B15 * IFERROR(VLOOKUP("industry|PM25|Work loss days", US_national_yearly!$D:$AM, 26, FALSE) / VLOOKUP("industry|PM25|Work loss days", US_national_yearly!$D:$AM, 10, FALSE), 1)</f>
        <v>3.7218851859193179E-2</v>
      </c>
      <c r="S15" s="7">
        <f>$B15 * IFERROR(VLOOKUP("industry|PM25|Work loss days", US_national_yearly!$D:$AM, 27, FALSE) / VLOOKUP("industry|PM25|Work loss days", US_national_yearly!$D:$AM, 10, FALSE), 1)</f>
        <v>3.7502681126367385E-2</v>
      </c>
      <c r="T15" s="7">
        <f>$B15 * IFERROR(VLOOKUP("industry|PM25|Work loss days", US_national_yearly!$D:$AM, 28, FALSE) / VLOOKUP("industry|PM25|Work loss days", US_national_yearly!$D:$AM, 10, FALSE), 1)</f>
        <v>3.7786510393541584E-2</v>
      </c>
      <c r="U15" s="7">
        <f>$B15 * IFERROR(VLOOKUP("industry|PM25|Work loss days", US_national_yearly!$D:$AM, 29, FALSE) / VLOOKUP("industry|PM25|Work loss days", US_national_yearly!$D:$AM, 10, FALSE), 1)</f>
        <v>3.8070339660715782E-2</v>
      </c>
      <c r="V15" s="7">
        <f>$B15 * IFERROR(VLOOKUP("industry|PM25|Work loss days", US_national_yearly!$D:$AM, 30, FALSE) / VLOOKUP("industry|PM25|Work loss days", US_national_yearly!$D:$AM, 10, FALSE), 1)</f>
        <v>3.8354168927889981E-2</v>
      </c>
      <c r="W15" s="7">
        <f>$B15 * IFERROR(VLOOKUP("industry|PM25|Work loss days", US_national_yearly!$D:$AM, 31, FALSE) / VLOOKUP("industry|PM25|Work loss days", US_national_yearly!$D:$AM, 10, FALSE), 1)</f>
        <v>3.8637998195064187E-2</v>
      </c>
      <c r="X15" s="7">
        <f>$B15 * IFERROR(VLOOKUP("industry|PM25|Work loss days", US_national_yearly!$D:$AM, 32, FALSE) / VLOOKUP("industry|PM25|Work loss days", US_national_yearly!$D:$AM, 10, FALSE), 1)</f>
        <v>3.889021781966976E-2</v>
      </c>
      <c r="Y15" s="7">
        <f>$B15 * IFERROR(VLOOKUP("industry|PM25|Work loss days", US_national_yearly!$D:$AM, 33, FALSE) / VLOOKUP("industry|PM25|Work loss days", US_national_yearly!$D:$AM, 10, FALSE), 1)</f>
        <v>3.9142437444275348E-2</v>
      </c>
      <c r="Z15" s="7">
        <f>$B15 * IFERROR(VLOOKUP("industry|PM25|Work loss days", US_national_yearly!$D:$AM, 34, FALSE) / VLOOKUP("industry|PM25|Work loss days", US_national_yearly!$D:$AM, 10, FALSE), 1)</f>
        <v>3.9394657068880928E-2</v>
      </c>
      <c r="AA15" s="7">
        <f>$B15 * IFERROR(VLOOKUP("industry|PM25|Work loss days", US_national_yearly!$D:$AM, 35, FALSE) / VLOOKUP("industry|PM25|Work loss days", US_national_yearly!$D:$AM, 10, FALSE), 1)</f>
        <v>3.9646876693486509E-2</v>
      </c>
      <c r="AB15" s="7">
        <f>$B15 * IFERROR(VLOOKUP("industry|PM25|Work loss days", US_national_yearly!$D:$AM, 36, FALSE) / VLOOKUP("industry|PM25|Work loss days", US_national_yearly!$D:$AM, 10, FALSE), 1)</f>
        <v>3.9899096318092089E-2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4.3641462704192918E-5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4.4946806833112128E-5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4.6252150962031345E-5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4.7557495090950555E-5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4.8862839219869759E-5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5.0113917479912809E-5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5.1364995739955853E-5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5.2439156063674317E-5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5.3513316387392773E-5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5.4587476711111244E-5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5.5661637034829707E-5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5.6735797358548171E-5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5.7453340504535294E-5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5.8170883650522404E-5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5.8888426796509514E-5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5.960596994249663E-5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6.0323513088483747E-5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6.0707955305294512E-5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6.1092397522105271E-5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6.147683973891605E-5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6.1861281955726802E-5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6.2245724172537567E-5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6.2509718549854512E-5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6.2773712927171457E-5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6.3037707304488389E-5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6.3301701681805334E-5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6.3565696059122279E-5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2.1905655147237538E-5</v>
      </c>
      <c r="C2" s="7">
        <f>$B2 * IFERROR(VLOOKUP("industry|NOx|Premature mortality", US_national_yearly!$D:$AM, 11, FALSE) / VLOOKUP("industry|NOx|Premature mortality", US_national_yearly!$D:$AM, 10, FALSE), 1)</f>
        <v>2.2229568320136747E-5</v>
      </c>
      <c r="D2" s="7">
        <f>$B2 * IFERROR(VLOOKUP("industry|NOx|Premature mortality", US_national_yearly!$D:$AM, 12, FALSE) / VLOOKUP("industry|NOx|Premature mortality", US_national_yearly!$D:$AM, 10, FALSE), 1)</f>
        <v>2.2553481493035962E-5</v>
      </c>
      <c r="E2" s="7">
        <f>$B2 * IFERROR(VLOOKUP("industry|NOx|Premature mortality", US_national_yearly!$D:$AM, 13, FALSE) / VLOOKUP("industry|NOx|Premature mortality", US_national_yearly!$D:$AM, 10, FALSE), 1)</f>
        <v>2.2877394665935171E-5</v>
      </c>
      <c r="F2" s="7">
        <f>$B2 * IFERROR(VLOOKUP("industry|NOx|Premature mortality", US_national_yearly!$D:$AM, 14, FALSE) / VLOOKUP("industry|NOx|Premature mortality", US_national_yearly!$D:$AM, 10, FALSE), 1)</f>
        <v>2.3201307838834383E-5</v>
      </c>
      <c r="G2" s="7">
        <f>$B2 * IFERROR(VLOOKUP("industry|NOx|Premature mortality", US_national_yearly!$D:$AM, 15, FALSE) / VLOOKUP("industry|NOx|Premature mortality", US_national_yearly!$D:$AM, 10, FALSE), 1)</f>
        <v>2.3782205457654505E-5</v>
      </c>
      <c r="H2" s="7">
        <f>$B2 * IFERROR(VLOOKUP("industry|NOx|Premature mortality", US_national_yearly!$D:$AM, 16, FALSE) / VLOOKUP("industry|NOx|Premature mortality", US_national_yearly!$D:$AM, 10, FALSE), 1)</f>
        <v>2.4363103076474623E-5</v>
      </c>
      <c r="I2" s="7">
        <f>$B2 * IFERROR(VLOOKUP("industry|NOx|Premature mortality", US_national_yearly!$D:$AM, 17, FALSE) / VLOOKUP("industry|NOx|Premature mortality", US_national_yearly!$D:$AM, 10, FALSE), 1)</f>
        <v>2.4739950908123871E-5</v>
      </c>
      <c r="J2" s="7">
        <f>$B2 * IFERROR(VLOOKUP("industry|NOx|Premature mortality", US_national_yearly!$D:$AM, 18, FALSE) / VLOOKUP("industry|NOx|Premature mortality", US_national_yearly!$D:$AM, 10, FALSE), 1)</f>
        <v>2.5116798739773119E-5</v>
      </c>
      <c r="K2" s="7">
        <f>$B2 * IFERROR(VLOOKUP("industry|NOx|Premature mortality", US_national_yearly!$D:$AM, 19, FALSE) / VLOOKUP("industry|NOx|Premature mortality", US_national_yearly!$D:$AM, 10, FALSE), 1)</f>
        <v>2.549364657142237E-5</v>
      </c>
      <c r="L2" s="7">
        <f>$B2 * IFERROR(VLOOKUP("industry|NOx|Premature mortality", US_national_yearly!$D:$AM, 20, FALSE) / VLOOKUP("industry|NOx|Premature mortality", US_national_yearly!$D:$AM, 10, FALSE), 1)</f>
        <v>2.5870494403071618E-5</v>
      </c>
      <c r="M2" s="7">
        <f>$B2 * IFERROR(VLOOKUP("industry|NOx|Premature mortality", US_national_yearly!$D:$AM, 21, FALSE) / VLOOKUP("industry|NOx|Premature mortality", US_national_yearly!$D:$AM, 10, FALSE), 1)</f>
        <v>2.6247342234720863E-5</v>
      </c>
      <c r="N2" s="7">
        <f>$B2 * IFERROR(VLOOKUP("industry|NOx|Premature mortality", US_national_yearly!$D:$AM, 22, FALSE) / VLOOKUP("industry|NOx|Premature mortality", US_national_yearly!$D:$AM, 10, FALSE), 1)</f>
        <v>2.6527766196509896E-5</v>
      </c>
      <c r="O2" s="7">
        <f>$B2 * IFERROR(VLOOKUP("industry|NOx|Premature mortality", US_national_yearly!$D:$AM, 23, FALSE) / VLOOKUP("industry|NOx|Premature mortality", US_national_yearly!$D:$AM, 10, FALSE), 1)</f>
        <v>2.6808190158298926E-5</v>
      </c>
      <c r="P2" s="7">
        <f>$B2 * IFERROR(VLOOKUP("industry|NOx|Premature mortality", US_national_yearly!$D:$AM, 24, FALSE) / VLOOKUP("industry|NOx|Premature mortality", US_national_yearly!$D:$AM, 10, FALSE), 1)</f>
        <v>2.7088614120087949E-5</v>
      </c>
      <c r="Q2" s="7">
        <f>$B2 * IFERROR(VLOOKUP("industry|NOx|Premature mortality", US_national_yearly!$D:$AM, 25, FALSE) / VLOOKUP("industry|NOx|Premature mortality", US_national_yearly!$D:$AM, 10, FALSE), 1)</f>
        <v>2.7369038081876979E-5</v>
      </c>
      <c r="R2" s="7">
        <f>$B2 * IFERROR(VLOOKUP("industry|NOx|Premature mortality", US_national_yearly!$D:$AM, 26, FALSE) / VLOOKUP("industry|NOx|Premature mortality", US_national_yearly!$D:$AM, 10, FALSE), 1)</f>
        <v>2.7649462043666008E-5</v>
      </c>
      <c r="S2" s="7">
        <f>$B2 * IFERROR(VLOOKUP("industry|NOx|Premature mortality", US_national_yearly!$D:$AM, 27, FALSE) / VLOOKUP("industry|NOx|Premature mortality", US_national_yearly!$D:$AM, 10, FALSE), 1)</f>
        <v>2.7780044370721054E-5</v>
      </c>
      <c r="T2" s="7">
        <f>$B2 * IFERROR(VLOOKUP("industry|NOx|Premature mortality", US_national_yearly!$D:$AM, 28, FALSE) / VLOOKUP("industry|NOx|Premature mortality", US_national_yearly!$D:$AM, 10, FALSE), 1)</f>
        <v>2.7910626697776101E-5</v>
      </c>
      <c r="U2" s="7">
        <f>$B2 * IFERROR(VLOOKUP("industry|NOx|Premature mortality", US_national_yearly!$D:$AM, 29, FALSE) / VLOOKUP("industry|NOx|Premature mortality", US_national_yearly!$D:$AM, 10, FALSE), 1)</f>
        <v>2.804120902483115E-5</v>
      </c>
      <c r="V2" s="7">
        <f>$B2 * IFERROR(VLOOKUP("industry|NOx|Premature mortality", US_national_yearly!$D:$AM, 30, FALSE) / VLOOKUP("industry|NOx|Premature mortality", US_national_yearly!$D:$AM, 10, FALSE), 1)</f>
        <v>2.8171791351886196E-5</v>
      </c>
      <c r="W2" s="7">
        <f>$B2 * IFERROR(VLOOKUP("industry|NOx|Premature mortality", US_national_yearly!$D:$AM, 31, FALSE) / VLOOKUP("industry|NOx|Premature mortality", US_national_yearly!$D:$AM, 10, FALSE), 1)</f>
        <v>2.8302373678941239E-5</v>
      </c>
      <c r="X2" s="7">
        <f>$B2 * IFERROR(VLOOKUP("industry|NOx|Premature mortality", US_national_yearly!$D:$AM, 32, FALSE) / VLOOKUP("industry|NOx|Premature mortality", US_national_yearly!$D:$AM, 10, FALSE), 1)</f>
        <v>2.8312353198000086E-5</v>
      </c>
      <c r="Y2" s="7">
        <f>$B2 * IFERROR(VLOOKUP("industry|NOx|Premature mortality", US_national_yearly!$D:$AM, 33, FALSE) / VLOOKUP("industry|NOx|Premature mortality", US_national_yearly!$D:$AM, 10, FALSE), 1)</f>
        <v>2.8322332717058929E-5</v>
      </c>
      <c r="Z2" s="7">
        <f>$B2 * IFERROR(VLOOKUP("industry|NOx|Premature mortality", US_national_yearly!$D:$AM, 34, FALSE) / VLOOKUP("industry|NOx|Premature mortality", US_national_yearly!$D:$AM, 10, FALSE), 1)</f>
        <v>2.8332312236117772E-5</v>
      </c>
      <c r="AA2" s="7">
        <f>$B2 * IFERROR(VLOOKUP("industry|NOx|Premature mortality", US_national_yearly!$D:$AM, 35, FALSE) / VLOOKUP("industry|NOx|Premature mortality", US_national_yearly!$D:$AM, 10, FALSE), 1)</f>
        <v>2.8342291755176619E-5</v>
      </c>
      <c r="AB2" s="7">
        <f>$B2 * IFERROR(VLOOKUP("industry|NOx|Premature mortality", US_national_yearly!$D:$AM, 36, FALSE) / VLOOKUP("industry|NOx|Premature mortality", US_national_yearly!$D:$AM, 10, FALSE), 1)</f>
        <v>2.8352271274235462E-5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5.6708508720691813E-8</v>
      </c>
      <c r="C3" s="7">
        <f>$B3 * IFERROR(VLOOKUP("industry|NOx|Infant mortality", US_national_yearly!$D:$AM, 11, FALSE) / VLOOKUP("industry|NOx|Infant mortality", US_national_yearly!$D:$AM, 10, FALSE), 1)</f>
        <v>5.6165420836007763E-8</v>
      </c>
      <c r="D3" s="7">
        <f>$B3 * IFERROR(VLOOKUP("industry|NOx|Infant mortality", US_national_yearly!$D:$AM, 12, FALSE) / VLOOKUP("industry|NOx|Infant mortality", US_national_yearly!$D:$AM, 10, FALSE), 1)</f>
        <v>5.5622332951323707E-8</v>
      </c>
      <c r="E3" s="7">
        <f>$B3 * IFERROR(VLOOKUP("industry|NOx|Infant mortality", US_national_yearly!$D:$AM, 13, FALSE) / VLOOKUP("industry|NOx|Infant mortality", US_national_yearly!$D:$AM, 10, FALSE), 1)</f>
        <v>5.5079245066639657E-8</v>
      </c>
      <c r="F3" s="7">
        <f>$B3 * IFERROR(VLOOKUP("industry|NOx|Infant mortality", US_national_yearly!$D:$AM, 14, FALSE) / VLOOKUP("industry|NOx|Infant mortality", US_national_yearly!$D:$AM, 10, FALSE), 1)</f>
        <v>5.4536157181955601E-8</v>
      </c>
      <c r="G3" s="7">
        <f>$B3 * IFERROR(VLOOKUP("industry|NOx|Infant mortality", US_national_yearly!$D:$AM, 15, FALSE) / VLOOKUP("industry|NOx|Infant mortality", US_national_yearly!$D:$AM, 10, FALSE), 1)</f>
        <v>3.6173191473438406E-8</v>
      </c>
      <c r="H3" s="7">
        <f>$B3 * IFERROR(VLOOKUP("industry|NOx|Infant mortality", US_national_yearly!$D:$AM, 16, FALSE) / VLOOKUP("industry|NOx|Infant mortality", US_national_yearly!$D:$AM, 10, FALSE), 1)</f>
        <v>1.781022576492121E-8</v>
      </c>
      <c r="I3" s="7">
        <f>$B3 * IFERROR(VLOOKUP("industry|NOx|Infant mortality", US_national_yearly!$D:$AM, 17, FALSE) / VLOOKUP("industry|NOx|Infant mortality", US_national_yearly!$D:$AM, 10, FALSE), 1)</f>
        <v>1.7681821726953373E-8</v>
      </c>
      <c r="J3" s="7">
        <f>$B3 * IFERROR(VLOOKUP("industry|NOx|Infant mortality", US_national_yearly!$D:$AM, 18, FALSE) / VLOOKUP("industry|NOx|Infant mortality", US_national_yearly!$D:$AM, 10, FALSE), 1)</f>
        <v>1.7553417688985542E-8</v>
      </c>
      <c r="K3" s="7">
        <f>$B3 * IFERROR(VLOOKUP("industry|NOx|Infant mortality", US_national_yearly!$D:$AM, 19, FALSE) / VLOOKUP("industry|NOx|Infant mortality", US_national_yearly!$D:$AM, 10, FALSE), 1)</f>
        <v>1.7425013651017704E-8</v>
      </c>
      <c r="L3" s="7">
        <f>$B3 * IFERROR(VLOOKUP("industry|NOx|Infant mortality", US_national_yearly!$D:$AM, 20, FALSE) / VLOOKUP("industry|NOx|Infant mortality", US_national_yearly!$D:$AM, 10, FALSE), 1)</f>
        <v>1.7296609613049867E-8</v>
      </c>
      <c r="M3" s="7">
        <f>$B3 * IFERROR(VLOOKUP("industry|NOx|Infant mortality", US_national_yearly!$D:$AM, 21, FALSE) / VLOOKUP("industry|NOx|Infant mortality", US_national_yearly!$D:$AM, 10, FALSE), 1)</f>
        <v>1.7168205575082029E-8</v>
      </c>
      <c r="N3" s="7">
        <f>$B3 * IFERROR(VLOOKUP("industry|NOx|Infant mortality", US_national_yearly!$D:$AM, 22, FALSE) / VLOOKUP("industry|NOx|Infant mortality", US_national_yearly!$D:$AM, 10, FALSE), 1)</f>
        <v>1.7081692726215312E-8</v>
      </c>
      <c r="O3" s="7">
        <f>$B3 * IFERROR(VLOOKUP("industry|NOx|Infant mortality", US_national_yearly!$D:$AM, 23, FALSE) / VLOOKUP("industry|NOx|Infant mortality", US_national_yearly!$D:$AM, 10, FALSE), 1)</f>
        <v>1.6995179877348596E-8</v>
      </c>
      <c r="P3" s="7">
        <f>$B3 * IFERROR(VLOOKUP("industry|NOx|Infant mortality", US_national_yearly!$D:$AM, 24, FALSE) / VLOOKUP("industry|NOx|Infant mortality", US_national_yearly!$D:$AM, 10, FALSE), 1)</f>
        <v>1.6908667028481879E-8</v>
      </c>
      <c r="Q3" s="7">
        <f>$B3 * IFERROR(VLOOKUP("industry|NOx|Infant mortality", US_national_yearly!$D:$AM, 25, FALSE) / VLOOKUP("industry|NOx|Infant mortality", US_national_yearly!$D:$AM, 10, FALSE), 1)</f>
        <v>1.6822154179615166E-8</v>
      </c>
      <c r="R3" s="7">
        <f>$B3 * IFERROR(VLOOKUP("industry|NOx|Infant mortality", US_national_yearly!$D:$AM, 26, FALSE) / VLOOKUP("industry|NOx|Infant mortality", US_national_yearly!$D:$AM, 10, FALSE), 1)</f>
        <v>1.6735641330748449E-8</v>
      </c>
      <c r="S3" s="7">
        <f>$B3 * IFERROR(VLOOKUP("industry|NOx|Infant mortality", US_national_yearly!$D:$AM, 27, FALSE) / VLOOKUP("industry|NOx|Infant mortality", US_national_yearly!$D:$AM, 10, FALSE), 1)</f>
        <v>1.6632908869402477E-8</v>
      </c>
      <c r="T3" s="7">
        <f>$B3 * IFERROR(VLOOKUP("industry|NOx|Infant mortality", US_national_yearly!$D:$AM, 28, FALSE) / VLOOKUP("industry|NOx|Infant mortality", US_national_yearly!$D:$AM, 10, FALSE), 1)</f>
        <v>1.6530176408056504E-8</v>
      </c>
      <c r="U3" s="7">
        <f>$B3 * IFERROR(VLOOKUP("industry|NOx|Infant mortality", US_national_yearly!$D:$AM, 29, FALSE) / VLOOKUP("industry|NOx|Infant mortality", US_national_yearly!$D:$AM, 10, FALSE), 1)</f>
        <v>1.6427443946710535E-8</v>
      </c>
      <c r="V3" s="7">
        <f>$B3 * IFERROR(VLOOKUP("industry|NOx|Infant mortality", US_national_yearly!$D:$AM, 30, FALSE) / VLOOKUP("industry|NOx|Infant mortality", US_national_yearly!$D:$AM, 10, FALSE), 1)</f>
        <v>1.6324711485364562E-8</v>
      </c>
      <c r="W3" s="7">
        <f>$B3 * IFERROR(VLOOKUP("industry|NOx|Infant mortality", US_national_yearly!$D:$AM, 31, FALSE) / VLOOKUP("industry|NOx|Infant mortality", US_national_yearly!$D:$AM, 10, FALSE), 1)</f>
        <v>1.6221979024018593E-8</v>
      </c>
      <c r="X3" s="7">
        <f>$B3 * IFERROR(VLOOKUP("industry|NOx|Infant mortality", US_national_yearly!$D:$AM, 32, FALSE) / VLOOKUP("industry|NOx|Infant mortality", US_national_yearly!$D:$AM, 10, FALSE), 1)</f>
        <v>1.6114098564238014E-8</v>
      </c>
      <c r="Y3" s="7">
        <f>$B3 * IFERROR(VLOOKUP("industry|NOx|Infant mortality", US_national_yearly!$D:$AM, 33, FALSE) / VLOOKUP("industry|NOx|Infant mortality", US_national_yearly!$D:$AM, 10, FALSE), 1)</f>
        <v>1.6006218104457434E-8</v>
      </c>
      <c r="Z3" s="7">
        <f>$B3 * IFERROR(VLOOKUP("industry|NOx|Infant mortality", US_national_yearly!$D:$AM, 34, FALSE) / VLOOKUP("industry|NOx|Infant mortality", US_national_yearly!$D:$AM, 10, FALSE), 1)</f>
        <v>1.5898337644676858E-8</v>
      </c>
      <c r="AA3" s="7">
        <f>$B3 * IFERROR(VLOOKUP("industry|NOx|Infant mortality", US_national_yearly!$D:$AM, 35, FALSE) / VLOOKUP("industry|NOx|Infant mortality", US_national_yearly!$D:$AM, 10, FALSE), 1)</f>
        <v>1.5790457184896279E-8</v>
      </c>
      <c r="AB3" s="7">
        <f>$B3 * IFERROR(VLOOKUP("industry|NOx|Infant mortality", US_national_yearly!$D:$AM, 36, FALSE) / VLOOKUP("industry|NOx|Infant mortality", US_national_yearly!$D:$AM, 10, FALSE), 1)</f>
        <v>1.5682576725115703E-8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6.6932235145250455E-5</v>
      </c>
      <c r="C6" s="7">
        <f>$B6 * IFERROR(VLOOKUP("industry|NOx|Asthma symptoms cough", US_national_yearly!$D:$AM, 11, FALSE) / VLOOKUP("industry|NOx|Asthma symptoms cough", US_national_yearly!$D:$AM, 10, FALSE), 1)</f>
        <v>6.784789083335198E-5</v>
      </c>
      <c r="D6" s="7">
        <f>$B6 * IFERROR(VLOOKUP("industry|NOx|Asthma symptoms cough", US_national_yearly!$D:$AM, 12, FALSE) / VLOOKUP("industry|NOx|Asthma symptoms cough", US_national_yearly!$D:$AM, 10, FALSE), 1)</f>
        <v>6.8763546521453505E-5</v>
      </c>
      <c r="E6" s="7">
        <f>$B6 * IFERROR(VLOOKUP("industry|NOx|Asthma symptoms cough", US_national_yearly!$D:$AM, 13, FALSE) / VLOOKUP("industry|NOx|Asthma symptoms cough", US_national_yearly!$D:$AM, 10, FALSE), 1)</f>
        <v>6.9679202209555044E-5</v>
      </c>
      <c r="F6" s="7">
        <f>$B6 * IFERROR(VLOOKUP("industry|NOx|Asthma symptoms cough", US_national_yearly!$D:$AM, 14, FALSE) / VLOOKUP("industry|NOx|Asthma symptoms cough", US_national_yearly!$D:$AM, 10, FALSE), 1)</f>
        <v>7.0594857897656569E-5</v>
      </c>
      <c r="G6" s="7">
        <f>$B6 * IFERROR(VLOOKUP("industry|NOx|Asthma symptoms cough", US_national_yearly!$D:$AM, 15, FALSE) / VLOOKUP("industry|NOx|Asthma symptoms cough", US_national_yearly!$D:$AM, 10, FALSE), 1)</f>
        <v>7.1329071707026745E-5</v>
      </c>
      <c r="H6" s="7">
        <f>$B6 * IFERROR(VLOOKUP("industry|NOx|Asthma symptoms cough", US_national_yearly!$D:$AM, 16, FALSE) / VLOOKUP("industry|NOx|Asthma symptoms cough", US_national_yearly!$D:$AM, 10, FALSE), 1)</f>
        <v>7.206328551639692E-5</v>
      </c>
      <c r="I6" s="7">
        <f>$B6 * IFERROR(VLOOKUP("industry|NOx|Asthma symptoms cough", US_national_yearly!$D:$AM, 17, FALSE) / VLOOKUP("industry|NOx|Asthma symptoms cough", US_national_yearly!$D:$AM, 10, FALSE), 1)</f>
        <v>7.2318798430912268E-5</v>
      </c>
      <c r="J6" s="7">
        <f>$B6 * IFERROR(VLOOKUP("industry|NOx|Asthma symptoms cough", US_national_yearly!$D:$AM, 18, FALSE) / VLOOKUP("industry|NOx|Asthma symptoms cough", US_national_yearly!$D:$AM, 10, FALSE), 1)</f>
        <v>7.2574311345427643E-5</v>
      </c>
      <c r="K6" s="7">
        <f>$B6 * IFERROR(VLOOKUP("industry|NOx|Asthma symptoms cough", US_national_yearly!$D:$AM, 19, FALSE) / VLOOKUP("industry|NOx|Asthma symptoms cough", US_national_yearly!$D:$AM, 10, FALSE), 1)</f>
        <v>7.2829824259942991E-5</v>
      </c>
      <c r="L6" s="7">
        <f>$B6 * IFERROR(VLOOKUP("industry|NOx|Asthma symptoms cough", US_national_yearly!$D:$AM, 20, FALSE) / VLOOKUP("industry|NOx|Asthma symptoms cough", US_national_yearly!$D:$AM, 10, FALSE), 1)</f>
        <v>7.3085337174458352E-5</v>
      </c>
      <c r="M6" s="7">
        <f>$B6 * IFERROR(VLOOKUP("industry|NOx|Asthma symptoms cough", US_national_yearly!$D:$AM, 21, FALSE) / VLOOKUP("industry|NOx|Asthma symptoms cough", US_national_yearly!$D:$AM, 10, FALSE), 1)</f>
        <v>7.3340850088973714E-5</v>
      </c>
      <c r="N6" s="7">
        <f>$B6 * IFERROR(VLOOKUP("industry|NOx|Asthma symptoms cough", US_national_yearly!$D:$AM, 22, FALSE) / VLOOKUP("industry|NOx|Asthma symptoms cough", US_national_yearly!$D:$AM, 10, FALSE), 1)</f>
        <v>7.3632525056056456E-5</v>
      </c>
      <c r="O6" s="7">
        <f>$B6 * IFERROR(VLOOKUP("industry|NOx|Asthma symptoms cough", US_national_yearly!$D:$AM, 23, FALSE) / VLOOKUP("industry|NOx|Asthma symptoms cough", US_national_yearly!$D:$AM, 10, FALSE), 1)</f>
        <v>7.3924200023139171E-5</v>
      </c>
      <c r="P6" s="7">
        <f>$B6 * IFERROR(VLOOKUP("industry|NOx|Asthma symptoms cough", US_national_yearly!$D:$AM, 24, FALSE) / VLOOKUP("industry|NOx|Asthma symptoms cough", US_national_yearly!$D:$AM, 10, FALSE), 1)</f>
        <v>7.4215874990221899E-5</v>
      </c>
      <c r="Q6" s="7">
        <f>$B6 * IFERROR(VLOOKUP("industry|NOx|Asthma symptoms cough", US_national_yearly!$D:$AM, 25, FALSE) / VLOOKUP("industry|NOx|Asthma symptoms cough", US_national_yearly!$D:$AM, 10, FALSE), 1)</f>
        <v>7.4507549957304641E-5</v>
      </c>
      <c r="R6" s="7">
        <f>$B6 * IFERROR(VLOOKUP("industry|NOx|Asthma symptoms cough", US_national_yearly!$D:$AM, 26, FALSE) / VLOOKUP("industry|NOx|Asthma symptoms cough", US_national_yearly!$D:$AM, 10, FALSE), 1)</f>
        <v>7.479922492438737E-5</v>
      </c>
      <c r="S6" s="7">
        <f>$B6 * IFERROR(VLOOKUP("industry|NOx|Asthma symptoms cough", US_national_yearly!$D:$AM, 27, FALSE) / VLOOKUP("industry|NOx|Asthma symptoms cough", US_national_yearly!$D:$AM, 10, FALSE), 1)</f>
        <v>7.5175472726470732E-5</v>
      </c>
      <c r="T6" s="7">
        <f>$B6 * IFERROR(VLOOKUP("industry|NOx|Asthma symptoms cough", US_national_yearly!$D:$AM, 28, FALSE) / VLOOKUP("industry|NOx|Asthma symptoms cough", US_national_yearly!$D:$AM, 10, FALSE), 1)</f>
        <v>7.555172052855408E-5</v>
      </c>
      <c r="U6" s="7">
        <f>$B6 * IFERROR(VLOOKUP("industry|NOx|Asthma symptoms cough", US_national_yearly!$D:$AM, 29, FALSE) / VLOOKUP("industry|NOx|Asthma symptoms cough", US_national_yearly!$D:$AM, 10, FALSE), 1)</f>
        <v>7.5927968330637428E-5</v>
      </c>
      <c r="V6" s="7">
        <f>$B6 * IFERROR(VLOOKUP("industry|NOx|Asthma symptoms cough", US_national_yearly!$D:$AM, 30, FALSE) / VLOOKUP("industry|NOx|Asthma symptoms cough", US_national_yearly!$D:$AM, 10, FALSE), 1)</f>
        <v>7.6304216132720777E-5</v>
      </c>
      <c r="W6" s="7">
        <f>$B6 * IFERROR(VLOOKUP("industry|NOx|Asthma symptoms cough", US_national_yearly!$D:$AM, 31, FALSE) / VLOOKUP("industry|NOx|Asthma symptoms cough", US_national_yearly!$D:$AM, 10, FALSE), 1)</f>
        <v>7.6680463934804139E-5</v>
      </c>
      <c r="X6" s="7">
        <f>$B6 * IFERROR(VLOOKUP("industry|NOx|Asthma symptoms cough", US_national_yearly!$D:$AM, 32, FALSE) / VLOOKUP("industry|NOx|Asthma symptoms cough", US_national_yearly!$D:$AM, 10, FALSE), 1)</f>
        <v>7.7029274580271223E-5</v>
      </c>
      <c r="Y6" s="7">
        <f>$B6 * IFERROR(VLOOKUP("industry|NOx|Asthma symptoms cough", US_national_yearly!$D:$AM, 33, FALSE) / VLOOKUP("industry|NOx|Asthma symptoms cough", US_national_yearly!$D:$AM, 10, FALSE), 1)</f>
        <v>7.7378085225738281E-5</v>
      </c>
      <c r="Z6" s="7">
        <f>$B6 * IFERROR(VLOOKUP("industry|NOx|Asthma symptoms cough", US_national_yearly!$D:$AM, 34, FALSE) / VLOOKUP("industry|NOx|Asthma symptoms cough", US_national_yearly!$D:$AM, 10, FALSE), 1)</f>
        <v>7.7726895871205366E-5</v>
      </c>
      <c r="AA6" s="7">
        <f>$B6 * IFERROR(VLOOKUP("industry|NOx|Asthma symptoms cough", US_national_yearly!$D:$AM, 35, FALSE) / VLOOKUP("industry|NOx|Asthma symptoms cough", US_national_yearly!$D:$AM, 10, FALSE), 1)</f>
        <v>7.8075706516672424E-5</v>
      </c>
      <c r="AB6" s="7">
        <f>$B6 * IFERROR(VLOOKUP("industry|NOx|Asthma symptoms cough", US_national_yearly!$D:$AM, 36, FALSE) / VLOOKUP("industry|NOx|Asthma symptoms cough", US_national_yearly!$D:$AM, 10, FALSE), 1)</f>
        <v>7.8424517162139508E-5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9.0133324227438855E-5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9.1366378684118777E-5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9.2599433140798699E-5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9.3832487597478621E-5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9.506554205415857E-5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9.6054260433931825E-5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9.704297881370512E-5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9.7387061571660972E-5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9.7731144329616811E-5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9.8075227087572663E-5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9.8419309845528555E-5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9.8763392603484407E-5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9.9156172465784449E-5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9.9548952328084504E-5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9.9941732190384573E-5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1.0033451205268464E-4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1.007272919149847E-4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1.0123396056050212E-4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1.0174062920601957E-4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1.02247297851537E-4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1.0275396649705445E-4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1.0326063514257186E-4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1.0373035593852304E-4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1.0420007673447421E-4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1.0466979753042538E-4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1.0513951832637654E-4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1.0560923912232772E-4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1.3771073552368694E-4</v>
      </c>
      <c r="C8" s="7">
        <f>$B8 * IFERROR(VLOOKUP("industry|NOx|Asthma symptoms wheeze", US_national_yearly!$D:$AM, 11, FALSE) / VLOOKUP("industry|NOx|Asthma symptoms wheeze", US_national_yearly!$D:$AM, 10, FALSE), 1)</f>
        <v>1.3959466511465846E-4</v>
      </c>
      <c r="D8" s="7">
        <f>$B8 * IFERROR(VLOOKUP("industry|NOx|Asthma symptoms wheeze", US_national_yearly!$D:$AM, 12, FALSE) / VLOOKUP("industry|NOx|Asthma symptoms wheeze", US_national_yearly!$D:$AM, 10, FALSE), 1)</f>
        <v>1.4147859470562996E-4</v>
      </c>
      <c r="E8" s="7">
        <f>$B8 * IFERROR(VLOOKUP("industry|NOx|Asthma symptoms wheeze", US_national_yearly!$D:$AM, 13, FALSE) / VLOOKUP("industry|NOx|Asthma symptoms wheeze", US_national_yearly!$D:$AM, 10, FALSE), 1)</f>
        <v>1.4336252429660148E-4</v>
      </c>
      <c r="F8" s="7">
        <f>$B8 * IFERROR(VLOOKUP("industry|NOx|Asthma symptoms wheeze", US_national_yearly!$D:$AM, 14, FALSE) / VLOOKUP("industry|NOx|Asthma symptoms wheeze", US_national_yearly!$D:$AM, 10, FALSE), 1)</f>
        <v>1.4524645388757295E-4</v>
      </c>
      <c r="G8" s="7">
        <f>$B8 * IFERROR(VLOOKUP("industry|NOx|Asthma symptoms wheeze", US_national_yearly!$D:$AM, 15, FALSE) / VLOOKUP("industry|NOx|Asthma symptoms wheeze", US_national_yearly!$D:$AM, 10, FALSE), 1)</f>
        <v>1.4675707315188455E-4</v>
      </c>
      <c r="H8" s="7">
        <f>$B8 * IFERROR(VLOOKUP("industry|NOx|Asthma symptoms wheeze", US_national_yearly!$D:$AM, 16, FALSE) / VLOOKUP("industry|NOx|Asthma symptoms wheeze", US_national_yearly!$D:$AM, 10, FALSE), 1)</f>
        <v>1.4826769241619607E-4</v>
      </c>
      <c r="I8" s="7">
        <f>$B8 * IFERROR(VLOOKUP("industry|NOx|Asthma symptoms wheeze", US_national_yearly!$D:$AM, 17, FALSE) / VLOOKUP("industry|NOx|Asthma symptoms wheeze", US_national_yearly!$D:$AM, 10, FALSE), 1)</f>
        <v>1.4879340131235933E-4</v>
      </c>
      <c r="J8" s="7">
        <f>$B8 * IFERROR(VLOOKUP("industry|NOx|Asthma symptoms wheeze", US_national_yearly!$D:$AM, 18, FALSE) / VLOOKUP("industry|NOx|Asthma symptoms wheeze", US_national_yearly!$D:$AM, 10, FALSE), 1)</f>
        <v>1.4931911020852254E-4</v>
      </c>
      <c r="K8" s="7">
        <f>$B8 * IFERROR(VLOOKUP("industry|NOx|Asthma symptoms wheeze", US_national_yearly!$D:$AM, 19, FALSE) / VLOOKUP("industry|NOx|Asthma symptoms wheeze", US_national_yearly!$D:$AM, 10, FALSE), 1)</f>
        <v>1.498448191046858E-4</v>
      </c>
      <c r="L8" s="7">
        <f>$B8 * IFERROR(VLOOKUP("industry|NOx|Asthma symptoms wheeze", US_national_yearly!$D:$AM, 20, FALSE) / VLOOKUP("industry|NOx|Asthma symptoms wheeze", US_national_yearly!$D:$AM, 10, FALSE), 1)</f>
        <v>1.5037052800084897E-4</v>
      </c>
      <c r="M8" s="7">
        <f>$B8 * IFERROR(VLOOKUP("industry|NOx|Asthma symptoms wheeze", US_national_yearly!$D:$AM, 21, FALSE) / VLOOKUP("industry|NOx|Asthma symptoms wheeze", US_national_yearly!$D:$AM, 10, FALSE), 1)</f>
        <v>1.5089623689701221E-4</v>
      </c>
      <c r="N8" s="7">
        <f>$B8 * IFERROR(VLOOKUP("industry|NOx|Asthma symptoms wheeze", US_national_yearly!$D:$AM, 22, FALSE) / VLOOKUP("industry|NOx|Asthma symptoms wheeze", US_national_yearly!$D:$AM, 10, FALSE), 1)</f>
        <v>1.5149634795301239E-4</v>
      </c>
      <c r="O8" s="7">
        <f>$B8 * IFERROR(VLOOKUP("industry|NOx|Asthma symptoms wheeze", US_national_yearly!$D:$AM, 23, FALSE) / VLOOKUP("industry|NOx|Asthma symptoms wheeze", US_national_yearly!$D:$AM, 10, FALSE), 1)</f>
        <v>1.5209645900901258E-4</v>
      </c>
      <c r="P8" s="7">
        <f>$B8 * IFERROR(VLOOKUP("industry|NOx|Asthma symptoms wheeze", US_national_yearly!$D:$AM, 24, FALSE) / VLOOKUP("industry|NOx|Asthma symptoms wheeze", US_national_yearly!$D:$AM, 10, FALSE), 1)</f>
        <v>1.5269657006501274E-4</v>
      </c>
      <c r="Q8" s="7">
        <f>$B8 * IFERROR(VLOOKUP("industry|NOx|Asthma symptoms wheeze", US_national_yearly!$D:$AM, 25, FALSE) / VLOOKUP("industry|NOx|Asthma symptoms wheeze", US_national_yearly!$D:$AM, 10, FALSE), 1)</f>
        <v>1.5329668112101292E-4</v>
      </c>
      <c r="R8" s="7">
        <f>$B8 * IFERROR(VLOOKUP("industry|NOx|Asthma symptoms wheeze", US_national_yearly!$D:$AM, 26, FALSE) / VLOOKUP("industry|NOx|Asthma symptoms wheeze", US_national_yearly!$D:$AM, 10, FALSE), 1)</f>
        <v>1.5389679217701308E-4</v>
      </c>
      <c r="S8" s="7">
        <f>$B8 * IFERROR(VLOOKUP("industry|NOx|Asthma symptoms wheeze", US_national_yearly!$D:$AM, 27, FALSE) / VLOOKUP("industry|NOx|Asthma symptoms wheeze", US_national_yearly!$D:$AM, 10, FALSE), 1)</f>
        <v>1.5467090888647531E-4</v>
      </c>
      <c r="T8" s="7">
        <f>$B8 * IFERROR(VLOOKUP("industry|NOx|Asthma symptoms wheeze", US_national_yearly!$D:$AM, 28, FALSE) / VLOOKUP("industry|NOx|Asthma symptoms wheeze", US_national_yearly!$D:$AM, 10, FALSE), 1)</f>
        <v>1.5544502559593752E-4</v>
      </c>
      <c r="U8" s="7">
        <f>$B8 * IFERROR(VLOOKUP("industry|NOx|Asthma symptoms wheeze", US_national_yearly!$D:$AM, 29, FALSE) / VLOOKUP("industry|NOx|Asthma symptoms wheeze", US_national_yearly!$D:$AM, 10, FALSE), 1)</f>
        <v>1.562191423053997E-4</v>
      </c>
      <c r="V8" s="7">
        <f>$B8 * IFERROR(VLOOKUP("industry|NOx|Asthma symptoms wheeze", US_national_yearly!$D:$AM, 30, FALSE) / VLOOKUP("industry|NOx|Asthma symptoms wheeze", US_national_yearly!$D:$AM, 10, FALSE), 1)</f>
        <v>1.5699325901486188E-4</v>
      </c>
      <c r="W8" s="7">
        <f>$B8 * IFERROR(VLOOKUP("industry|NOx|Asthma symptoms wheeze", US_national_yearly!$D:$AM, 31, FALSE) / VLOOKUP("industry|NOx|Asthma symptoms wheeze", US_national_yearly!$D:$AM, 10, FALSE), 1)</f>
        <v>1.5776737572432409E-4</v>
      </c>
      <c r="X8" s="7">
        <f>$B8 * IFERROR(VLOOKUP("industry|NOx|Asthma symptoms wheeze", US_national_yearly!$D:$AM, 32, FALSE) / VLOOKUP("industry|NOx|Asthma symptoms wheeze", US_national_yearly!$D:$AM, 10, FALSE), 1)</f>
        <v>1.5848504144248924E-4</v>
      </c>
      <c r="Y8" s="7">
        <f>$B8 * IFERROR(VLOOKUP("industry|NOx|Asthma symptoms wheeze", US_national_yearly!$D:$AM, 33, FALSE) / VLOOKUP("industry|NOx|Asthma symptoms wheeze", US_national_yearly!$D:$AM, 10, FALSE), 1)</f>
        <v>1.5920270716065436E-4</v>
      </c>
      <c r="Z8" s="7">
        <f>$B8 * IFERROR(VLOOKUP("industry|NOx|Asthma symptoms wheeze", US_national_yearly!$D:$AM, 34, FALSE) / VLOOKUP("industry|NOx|Asthma symptoms wheeze", US_national_yearly!$D:$AM, 10, FALSE), 1)</f>
        <v>1.5992037287881948E-4</v>
      </c>
      <c r="AA8" s="7">
        <f>$B8 * IFERROR(VLOOKUP("industry|NOx|Asthma symptoms wheeze", US_national_yearly!$D:$AM, 35, FALSE) / VLOOKUP("industry|NOx|Asthma symptoms wheeze", US_national_yearly!$D:$AM, 10, FALSE), 1)</f>
        <v>1.6063803859698455E-4</v>
      </c>
      <c r="AB8" s="7">
        <f>$B8 * IFERROR(VLOOKUP("industry|NOx|Asthma symptoms wheeze", US_national_yearly!$D:$AM, 36, FALSE) / VLOOKUP("industry|NOx|Asthma symptoms wheeze", US_national_yearly!$D:$AM, 10, FALSE), 1)</f>
        <v>1.6135570431514981E-4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1.4427305234578487E-6</v>
      </c>
      <c r="C12" s="7">
        <f>$B12 * IFERROR(VLOOKUP("industry|NOx|Respiratory hospital admissions", US_national_yearly!$D:$AM, 11, FALSE) / VLOOKUP("industry|NOx|Respiratory hospital admissions", US_national_yearly!$D:$AM, 10, FALSE), 1)</f>
        <v>1.4789766939933149E-6</v>
      </c>
      <c r="D12" s="7">
        <f>$B12 * IFERROR(VLOOKUP("industry|NOx|Respiratory hospital admissions", US_national_yearly!$D:$AM, 12, FALSE) / VLOOKUP("industry|NOx|Respiratory hospital admissions", US_national_yearly!$D:$AM, 10, FALSE), 1)</f>
        <v>1.5152228645287809E-6</v>
      </c>
      <c r="E12" s="7">
        <f>$B12 * IFERROR(VLOOKUP("industry|NOx|Respiratory hospital admissions", US_national_yearly!$D:$AM, 13, FALSE) / VLOOKUP("industry|NOx|Respiratory hospital admissions", US_national_yearly!$D:$AM, 10, FALSE), 1)</f>
        <v>1.5514690350642476E-6</v>
      </c>
      <c r="F12" s="7">
        <f>$B12 * IFERROR(VLOOKUP("industry|NOx|Respiratory hospital admissions", US_national_yearly!$D:$AM, 14, FALSE) / VLOOKUP("industry|NOx|Respiratory hospital admissions", US_national_yearly!$D:$AM, 10, FALSE), 1)</f>
        <v>1.5877152055997134E-6</v>
      </c>
      <c r="G12" s="7">
        <f>$B12 * IFERROR(VLOOKUP("industry|NOx|Respiratory hospital admissions", US_national_yearly!$D:$AM, 15, FALSE) / VLOOKUP("industry|NOx|Respiratory hospital admissions", US_national_yearly!$D:$AM, 10, FALSE), 1)</f>
        <v>1.6223862794842676E-6</v>
      </c>
      <c r="H12" s="7">
        <f>$B12 * IFERROR(VLOOKUP("industry|NOx|Respiratory hospital admissions", US_national_yearly!$D:$AM, 16, FALSE) / VLOOKUP("industry|NOx|Respiratory hospital admissions", US_national_yearly!$D:$AM, 10, FALSE), 1)</f>
        <v>1.6570573533688216E-6</v>
      </c>
      <c r="I12" s="7">
        <f>$B12 * IFERROR(VLOOKUP("industry|NOx|Respiratory hospital admissions", US_national_yearly!$D:$AM, 17, FALSE) / VLOOKUP("industry|NOx|Respiratory hospital admissions", US_national_yearly!$D:$AM, 10, FALSE), 1)</f>
        <v>1.6865844808401244E-6</v>
      </c>
      <c r="J12" s="7">
        <f>$B12 * IFERROR(VLOOKUP("industry|NOx|Respiratory hospital admissions", US_national_yearly!$D:$AM, 18, FALSE) / VLOOKUP("industry|NOx|Respiratory hospital admissions", US_national_yearly!$D:$AM, 10, FALSE), 1)</f>
        <v>1.7161116083114273E-6</v>
      </c>
      <c r="K12" s="7">
        <f>$B12 * IFERROR(VLOOKUP("industry|NOx|Respiratory hospital admissions", US_national_yearly!$D:$AM, 19, FALSE) / VLOOKUP("industry|NOx|Respiratory hospital admissions", US_national_yearly!$D:$AM, 10, FALSE), 1)</f>
        <v>1.7456387357827303E-6</v>
      </c>
      <c r="L12" s="7">
        <f>$B12 * IFERROR(VLOOKUP("industry|NOx|Respiratory hospital admissions", US_national_yearly!$D:$AM, 20, FALSE) / VLOOKUP("industry|NOx|Respiratory hospital admissions", US_national_yearly!$D:$AM, 10, FALSE), 1)</f>
        <v>1.7751658632540333E-6</v>
      </c>
      <c r="M12" s="7">
        <f>$B12 * IFERROR(VLOOKUP("industry|NOx|Respiratory hospital admissions", US_national_yearly!$D:$AM, 21, FALSE) / VLOOKUP("industry|NOx|Respiratory hospital admissions", US_national_yearly!$D:$AM, 10, FALSE), 1)</f>
        <v>1.8046929907253362E-6</v>
      </c>
      <c r="N12" s="7">
        <f>$B12 * IFERROR(VLOOKUP("industry|NOx|Respiratory hospital admissions", US_national_yearly!$D:$AM, 22, FALSE) / VLOOKUP("industry|NOx|Respiratory hospital admissions", US_national_yearly!$D:$AM, 10, FALSE), 1)</f>
        <v>1.8244825731876369E-6</v>
      </c>
      <c r="O12" s="7">
        <f>$B12 * IFERROR(VLOOKUP("industry|NOx|Respiratory hospital admissions", US_national_yearly!$D:$AM, 23, FALSE) / VLOOKUP("industry|NOx|Respiratory hospital admissions", US_national_yearly!$D:$AM, 10, FALSE), 1)</f>
        <v>1.8442721556499375E-6</v>
      </c>
      <c r="P12" s="7">
        <f>$B12 * IFERROR(VLOOKUP("industry|NOx|Respiratory hospital admissions", US_national_yearly!$D:$AM, 24, FALSE) / VLOOKUP("industry|NOx|Respiratory hospital admissions", US_national_yearly!$D:$AM, 10, FALSE), 1)</f>
        <v>1.8640617381122382E-6</v>
      </c>
      <c r="Q12" s="7">
        <f>$B12 * IFERROR(VLOOKUP("industry|NOx|Respiratory hospital admissions", US_national_yearly!$D:$AM, 25, FALSE) / VLOOKUP("industry|NOx|Respiratory hospital admissions", US_national_yearly!$D:$AM, 10, FALSE), 1)</f>
        <v>1.8838513205745385E-6</v>
      </c>
      <c r="R12" s="7">
        <f>$B12 * IFERROR(VLOOKUP("industry|NOx|Respiratory hospital admissions", US_national_yearly!$D:$AM, 26, FALSE) / VLOOKUP("industry|NOx|Respiratory hospital admissions", US_national_yearly!$D:$AM, 10, FALSE), 1)</f>
        <v>1.9036409030368393E-6</v>
      </c>
      <c r="S12" s="7">
        <f>$B12 * IFERROR(VLOOKUP("industry|NOx|Respiratory hospital admissions", US_national_yearly!$D:$AM, 27, FALSE) / VLOOKUP("industry|NOx|Respiratory hospital admissions", US_national_yearly!$D:$AM, 10, FALSE), 1)</f>
        <v>1.914384926854123E-6</v>
      </c>
      <c r="T12" s="7">
        <f>$B12 * IFERROR(VLOOKUP("industry|NOx|Respiratory hospital admissions", US_national_yearly!$D:$AM, 28, FALSE) / VLOOKUP("industry|NOx|Respiratory hospital admissions", US_national_yearly!$D:$AM, 10, FALSE), 1)</f>
        <v>1.9251289506714072E-6</v>
      </c>
      <c r="U12" s="7">
        <f>$B12 * IFERROR(VLOOKUP("industry|NOx|Respiratory hospital admissions", US_national_yearly!$D:$AM, 29, FALSE) / VLOOKUP("industry|NOx|Respiratory hospital admissions", US_national_yearly!$D:$AM, 10, FALSE), 1)</f>
        <v>1.935872974488691E-6</v>
      </c>
      <c r="V12" s="7">
        <f>$B12 * IFERROR(VLOOKUP("industry|NOx|Respiratory hospital admissions", US_national_yearly!$D:$AM, 30, FALSE) / VLOOKUP("industry|NOx|Respiratory hospital admissions", US_national_yearly!$D:$AM, 10, FALSE), 1)</f>
        <v>1.9466169983059747E-6</v>
      </c>
      <c r="W12" s="7">
        <f>$B12 * IFERROR(VLOOKUP("industry|NOx|Respiratory hospital admissions", US_national_yearly!$D:$AM, 31, FALSE) / VLOOKUP("industry|NOx|Respiratory hospital admissions", US_national_yearly!$D:$AM, 10, FALSE), 1)</f>
        <v>1.9573610221232589E-6</v>
      </c>
      <c r="X12" s="7">
        <f>$B12 * IFERROR(VLOOKUP("industry|NOx|Respiratory hospital admissions", US_national_yearly!$D:$AM, 32, FALSE) / VLOOKUP("industry|NOx|Respiratory hospital admissions", US_national_yearly!$D:$AM, 10, FALSE), 1)</f>
        <v>1.9648524173732079E-6</v>
      </c>
      <c r="Y12" s="7">
        <f>$B12 * IFERROR(VLOOKUP("industry|NOx|Respiratory hospital admissions", US_national_yearly!$D:$AM, 33, FALSE) / VLOOKUP("industry|NOx|Respiratory hospital admissions", US_national_yearly!$D:$AM, 10, FALSE), 1)</f>
        <v>1.9723438126231573E-6</v>
      </c>
      <c r="Z12" s="7">
        <f>$B12 * IFERROR(VLOOKUP("industry|NOx|Respiratory hospital admissions", US_national_yearly!$D:$AM, 34, FALSE) / VLOOKUP("industry|NOx|Respiratory hospital admissions", US_national_yearly!$D:$AM, 10, FALSE), 1)</f>
        <v>1.9798352078731067E-6</v>
      </c>
      <c r="AA12" s="7">
        <f>$B12 * IFERROR(VLOOKUP("industry|NOx|Respiratory hospital admissions", US_national_yearly!$D:$AM, 35, FALSE) / VLOOKUP("industry|NOx|Respiratory hospital admissions", US_national_yearly!$D:$AM, 10, FALSE), 1)</f>
        <v>1.9873266031230562E-6</v>
      </c>
      <c r="AB12" s="7">
        <f>$B12 * IFERROR(VLOOKUP("industry|NOx|Respiratory hospital admissions", US_national_yearly!$D:$AM, 36, FALSE) / VLOOKUP("industry|NOx|Respiratory hospital admissions", US_national_yearly!$D:$AM, 10, FALSE), 1)</f>
        <v>1.9948179983730056E-6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6.961867543644171E-6</v>
      </c>
      <c r="C13" s="7">
        <f>$B13 * IFERROR(VLOOKUP("industry|NOx|Non-fatal heart attacks", US_national_yearly!$D:$AM, 11, FALSE) / VLOOKUP("industry|NOx|Non-fatal heart attacks", US_national_yearly!$D:$AM, 10, FALSE), 1)</f>
        <v>7.1607747707848733E-6</v>
      </c>
      <c r="D13" s="7">
        <f>$B13 * IFERROR(VLOOKUP("industry|NOx|Non-fatal heart attacks", US_national_yearly!$D:$AM, 12, FALSE) / VLOOKUP("industry|NOx|Non-fatal heart attacks", US_national_yearly!$D:$AM, 10, FALSE), 1)</f>
        <v>7.3596819979255756E-6</v>
      </c>
      <c r="E13" s="7">
        <f>$B13 * IFERROR(VLOOKUP("industry|NOx|Non-fatal heart attacks", US_national_yearly!$D:$AM, 13, FALSE) / VLOOKUP("industry|NOx|Non-fatal heart attacks", US_national_yearly!$D:$AM, 10, FALSE), 1)</f>
        <v>7.5585892250662779E-6</v>
      </c>
      <c r="F13" s="7">
        <f>$B13 * IFERROR(VLOOKUP("industry|NOx|Non-fatal heart attacks", US_national_yearly!$D:$AM, 14, FALSE) / VLOOKUP("industry|NOx|Non-fatal heart attacks", US_national_yearly!$D:$AM, 10, FALSE), 1)</f>
        <v>7.7574964522069811E-6</v>
      </c>
      <c r="G13" s="7">
        <f>$B13 * IFERROR(VLOOKUP("industry|NOx|Non-fatal heart attacks", US_national_yearly!$D:$AM, 15, FALSE) / VLOOKUP("industry|NOx|Non-fatal heart attacks", US_national_yearly!$D:$AM, 10, FALSE), 1)</f>
        <v>7.9435326522980791E-6</v>
      </c>
      <c r="H13" s="7">
        <f>$B13 * IFERROR(VLOOKUP("industry|NOx|Non-fatal heart attacks", US_national_yearly!$D:$AM, 16, FALSE) / VLOOKUP("industry|NOx|Non-fatal heart attacks", US_national_yearly!$D:$AM, 10, FALSE), 1)</f>
        <v>8.1295688523891771E-6</v>
      </c>
      <c r="I13" s="7">
        <f>$B13 * IFERROR(VLOOKUP("industry|NOx|Non-fatal heart attacks", US_national_yearly!$D:$AM, 17, FALSE) / VLOOKUP("industry|NOx|Non-fatal heart attacks", US_national_yearly!$D:$AM, 10, FALSE), 1)</f>
        <v>8.2767039306910251E-6</v>
      </c>
      <c r="J13" s="7">
        <f>$B13 * IFERROR(VLOOKUP("industry|NOx|Non-fatal heart attacks", US_national_yearly!$D:$AM, 18, FALSE) / VLOOKUP("industry|NOx|Non-fatal heart attacks", US_national_yearly!$D:$AM, 10, FALSE), 1)</f>
        <v>8.4238390089928715E-6</v>
      </c>
      <c r="K13" s="7">
        <f>$B13 * IFERROR(VLOOKUP("industry|NOx|Non-fatal heart attacks", US_national_yearly!$D:$AM, 19, FALSE) / VLOOKUP("industry|NOx|Non-fatal heart attacks", US_national_yearly!$D:$AM, 10, FALSE), 1)</f>
        <v>8.5709740872947144E-6</v>
      </c>
      <c r="L13" s="7">
        <f>$B13 * IFERROR(VLOOKUP("industry|NOx|Non-fatal heart attacks", US_national_yearly!$D:$AM, 20, FALSE) / VLOOKUP("industry|NOx|Non-fatal heart attacks", US_national_yearly!$D:$AM, 10, FALSE), 1)</f>
        <v>8.7181091655965658E-6</v>
      </c>
      <c r="M13" s="7">
        <f>$B13 * IFERROR(VLOOKUP("industry|NOx|Non-fatal heart attacks", US_national_yearly!$D:$AM, 21, FALSE) / VLOOKUP("industry|NOx|Non-fatal heart attacks", US_national_yearly!$D:$AM, 10, FALSE), 1)</f>
        <v>8.8652442438984139E-6</v>
      </c>
      <c r="N13" s="7">
        <f>$B13 * IFERROR(VLOOKUP("industry|NOx|Non-fatal heart attacks", US_national_yearly!$D:$AM, 22, FALSE) / VLOOKUP("industry|NOx|Non-fatal heart attacks", US_national_yearly!$D:$AM, 10, FALSE), 1)</f>
        <v>8.9538860667657449E-6</v>
      </c>
      <c r="O13" s="7">
        <f>$B13 * IFERROR(VLOOKUP("industry|NOx|Non-fatal heart attacks", US_national_yearly!$D:$AM, 23, FALSE) / VLOOKUP("industry|NOx|Non-fatal heart attacks", US_national_yearly!$D:$AM, 10, FALSE), 1)</f>
        <v>9.0425278896330759E-6</v>
      </c>
      <c r="P13" s="7">
        <f>$B13 * IFERROR(VLOOKUP("industry|NOx|Non-fatal heart attacks", US_national_yearly!$D:$AM, 24, FALSE) / VLOOKUP("industry|NOx|Non-fatal heart attacks", US_national_yearly!$D:$AM, 10, FALSE), 1)</f>
        <v>9.1311697125004052E-6</v>
      </c>
      <c r="Q13" s="7">
        <f>$B13 * IFERROR(VLOOKUP("industry|NOx|Non-fatal heart attacks", US_national_yearly!$D:$AM, 25, FALSE) / VLOOKUP("industry|NOx|Non-fatal heart attacks", US_national_yearly!$D:$AM, 10, FALSE), 1)</f>
        <v>9.2198115353677345E-6</v>
      </c>
      <c r="R13" s="7">
        <f>$B13 * IFERROR(VLOOKUP("industry|NOx|Non-fatal heart attacks", US_national_yearly!$D:$AM, 26, FALSE) / VLOOKUP("industry|NOx|Non-fatal heart attacks", US_national_yearly!$D:$AM, 10, FALSE), 1)</f>
        <v>9.3084533582350655E-6</v>
      </c>
      <c r="S13" s="7">
        <f>$B13 * IFERROR(VLOOKUP("industry|NOx|Non-fatal heart attacks", US_national_yearly!$D:$AM, 27, FALSE) / VLOOKUP("industry|NOx|Non-fatal heart attacks", US_national_yearly!$D:$AM, 10, FALSE), 1)</f>
        <v>9.3491239946533525E-6</v>
      </c>
      <c r="T13" s="7">
        <f>$B13 * IFERROR(VLOOKUP("industry|NOx|Non-fatal heart attacks", US_national_yearly!$D:$AM, 28, FALSE) / VLOOKUP("industry|NOx|Non-fatal heart attacks", US_national_yearly!$D:$AM, 10, FALSE), 1)</f>
        <v>9.3897946310716378E-6</v>
      </c>
      <c r="U13" s="7">
        <f>$B13 * IFERROR(VLOOKUP("industry|NOx|Non-fatal heart attacks", US_national_yearly!$D:$AM, 29, FALSE) / VLOOKUP("industry|NOx|Non-fatal heart attacks", US_national_yearly!$D:$AM, 10, FALSE), 1)</f>
        <v>9.4304652674899231E-6</v>
      </c>
      <c r="V13" s="7">
        <f>$B13 * IFERROR(VLOOKUP("industry|NOx|Non-fatal heart attacks", US_national_yearly!$D:$AM, 30, FALSE) / VLOOKUP("industry|NOx|Non-fatal heart attacks", US_national_yearly!$D:$AM, 10, FALSE), 1)</f>
        <v>9.4711359039082101E-6</v>
      </c>
      <c r="W13" s="7">
        <f>$B13 * IFERROR(VLOOKUP("industry|NOx|Non-fatal heart attacks", US_national_yearly!$D:$AM, 31, FALSE) / VLOOKUP("industry|NOx|Non-fatal heart attacks", US_national_yearly!$D:$AM, 10, FALSE), 1)</f>
        <v>9.5118065403264953E-6</v>
      </c>
      <c r="X13" s="7">
        <f>$B13 * IFERROR(VLOOKUP("industry|NOx|Non-fatal heart attacks", US_national_yearly!$D:$AM, 32, FALSE) / VLOOKUP("industry|NOx|Non-fatal heart attacks", US_national_yearly!$D:$AM, 10, FALSE), 1)</f>
        <v>9.5392547642531384E-6</v>
      </c>
      <c r="Y13" s="7">
        <f>$B13 * IFERROR(VLOOKUP("industry|NOx|Non-fatal heart attacks", US_national_yearly!$D:$AM, 33, FALSE) / VLOOKUP("industry|NOx|Non-fatal heart attacks", US_national_yearly!$D:$AM, 10, FALSE), 1)</f>
        <v>9.5667029881797815E-6</v>
      </c>
      <c r="Z13" s="7">
        <f>$B13 * IFERROR(VLOOKUP("industry|NOx|Non-fatal heart attacks", US_national_yearly!$D:$AM, 34, FALSE) / VLOOKUP("industry|NOx|Non-fatal heart attacks", US_national_yearly!$D:$AM, 10, FALSE), 1)</f>
        <v>9.5941512121064229E-6</v>
      </c>
      <c r="AA13" s="7">
        <f>$B13 * IFERROR(VLOOKUP("industry|NOx|Non-fatal heart attacks", US_national_yearly!$D:$AM, 35, FALSE) / VLOOKUP("industry|NOx|Non-fatal heart attacks", US_national_yearly!$D:$AM, 10, FALSE), 1)</f>
        <v>9.621599436033066E-6</v>
      </c>
      <c r="AB13" s="7">
        <f>$B13 * IFERROR(VLOOKUP("industry|NOx|Non-fatal heart attacks", US_national_yearly!$D:$AM, 36, FALSE) / VLOOKUP("industry|NOx|Non-fatal heart attacks", US_national_yearly!$D:$AM, 10, FALSE), 1)</f>
        <v>9.6490476599597091E-6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7.2356752560616402E-3</v>
      </c>
      <c r="C14" s="7">
        <f>$B14 * IFERROR(VLOOKUP("industry|NOx|Minor restricted activity days", US_national_yearly!$D:$AM, 11, FALSE) / VLOOKUP("industry|NOx|Minor restricted activity days", US_national_yearly!$D:$AM, 10, FALSE), 1)</f>
        <v>7.2463954672908762E-3</v>
      </c>
      <c r="D14" s="7">
        <f>$B14 * IFERROR(VLOOKUP("industry|NOx|Minor restricted activity days", US_national_yearly!$D:$AM, 12, FALSE) / VLOOKUP("industry|NOx|Minor restricted activity days", US_national_yearly!$D:$AM, 10, FALSE), 1)</f>
        <v>7.2571156785201105E-3</v>
      </c>
      <c r="E14" s="7">
        <f>$B14 * IFERROR(VLOOKUP("industry|NOx|Minor restricted activity days", US_national_yearly!$D:$AM, 13, FALSE) / VLOOKUP("industry|NOx|Minor restricted activity days", US_national_yearly!$D:$AM, 10, FALSE), 1)</f>
        <v>7.2678358897493474E-3</v>
      </c>
      <c r="F14" s="7">
        <f>$B14 * IFERROR(VLOOKUP("industry|NOx|Minor restricted activity days", US_national_yearly!$D:$AM, 14, FALSE) / VLOOKUP("industry|NOx|Minor restricted activity days", US_national_yearly!$D:$AM, 10, FALSE), 1)</f>
        <v>7.2785561009785817E-3</v>
      </c>
      <c r="G14" s="7">
        <f>$B14 * IFERROR(VLOOKUP("industry|NOx|Minor restricted activity days", US_national_yearly!$D:$AM, 15, FALSE) / VLOOKUP("industry|NOx|Minor restricted activity days", US_national_yearly!$D:$AM, 10, FALSE), 1)</f>
        <v>7.2980712429860069E-3</v>
      </c>
      <c r="H14" s="7">
        <f>$B14 * IFERROR(VLOOKUP("industry|NOx|Minor restricted activity days", US_national_yearly!$D:$AM, 16, FALSE) / VLOOKUP("industry|NOx|Minor restricted activity days", US_national_yearly!$D:$AM, 10, FALSE), 1)</f>
        <v>7.3175863849934322E-3</v>
      </c>
      <c r="I14" s="7">
        <f>$B14 * IFERROR(VLOOKUP("industry|NOx|Minor restricted activity days", US_national_yearly!$D:$AM, 17, FALSE) / VLOOKUP("industry|NOx|Minor restricted activity days", US_national_yearly!$D:$AM, 10, FALSE), 1)</f>
        <v>7.3560047199674756E-3</v>
      </c>
      <c r="J14" s="7">
        <f>$B14 * IFERROR(VLOOKUP("industry|NOx|Minor restricted activity days", US_national_yearly!$D:$AM, 18, FALSE) / VLOOKUP("industry|NOx|Minor restricted activity days", US_national_yearly!$D:$AM, 10, FALSE), 1)</f>
        <v>7.3944230549415181E-3</v>
      </c>
      <c r="K14" s="7">
        <f>$B14 * IFERROR(VLOOKUP("industry|NOx|Minor restricted activity days", US_national_yearly!$D:$AM, 19, FALSE) / VLOOKUP("industry|NOx|Minor restricted activity days", US_national_yearly!$D:$AM, 10, FALSE), 1)</f>
        <v>7.432841389915559E-3</v>
      </c>
      <c r="L14" s="7">
        <f>$B14 * IFERROR(VLOOKUP("industry|NOx|Minor restricted activity days", US_national_yearly!$D:$AM, 20, FALSE) / VLOOKUP("industry|NOx|Minor restricted activity days", US_national_yearly!$D:$AM, 10, FALSE), 1)</f>
        <v>7.4712597248896033E-3</v>
      </c>
      <c r="M14" s="7">
        <f>$B14 * IFERROR(VLOOKUP("industry|NOx|Minor restricted activity days", US_national_yearly!$D:$AM, 21, FALSE) / VLOOKUP("industry|NOx|Minor restricted activity days", US_national_yearly!$D:$AM, 10, FALSE), 1)</f>
        <v>7.5096780598636458E-3</v>
      </c>
      <c r="N14" s="7">
        <f>$B14 * IFERROR(VLOOKUP("industry|NOx|Minor restricted activity days", US_national_yearly!$D:$AM, 22, FALSE) / VLOOKUP("industry|NOx|Minor restricted activity days", US_national_yearly!$D:$AM, 10, FALSE), 1)</f>
        <v>7.5650030305713283E-3</v>
      </c>
      <c r="O14" s="7">
        <f>$B14 * IFERROR(VLOOKUP("industry|NOx|Minor restricted activity days", US_national_yearly!$D:$AM, 23, FALSE) / VLOOKUP("industry|NOx|Minor restricted activity days", US_national_yearly!$D:$AM, 10, FALSE), 1)</f>
        <v>7.6203280012790116E-3</v>
      </c>
      <c r="P14" s="7">
        <f>$B14 * IFERROR(VLOOKUP("industry|NOx|Minor restricted activity days", US_national_yearly!$D:$AM, 24, FALSE) / VLOOKUP("industry|NOx|Minor restricted activity days", US_national_yearly!$D:$AM, 10, FALSE), 1)</f>
        <v>7.6756529719866958E-3</v>
      </c>
      <c r="Q14" s="7">
        <f>$B14 * IFERROR(VLOOKUP("industry|NOx|Minor restricted activity days", US_national_yearly!$D:$AM, 25, FALSE) / VLOOKUP("industry|NOx|Minor restricted activity days", US_national_yearly!$D:$AM, 10, FALSE), 1)</f>
        <v>7.7309779426943783E-3</v>
      </c>
      <c r="R14" s="7">
        <f>$B14 * IFERROR(VLOOKUP("industry|NOx|Minor restricted activity days", US_national_yearly!$D:$AM, 26, FALSE) / VLOOKUP("industry|NOx|Minor restricted activity days", US_national_yearly!$D:$AM, 10, FALSE), 1)</f>
        <v>7.7863029134020616E-3</v>
      </c>
      <c r="S14" s="7">
        <f>$B14 * IFERROR(VLOOKUP("industry|NOx|Minor restricted activity days", US_national_yearly!$D:$AM, 27, FALSE) / VLOOKUP("industry|NOx|Minor restricted activity days", US_national_yearly!$D:$AM, 10, FALSE), 1)</f>
        <v>7.8416871168947196E-3</v>
      </c>
      <c r="T14" s="7">
        <f>$B14 * IFERROR(VLOOKUP("industry|NOx|Minor restricted activity days", US_national_yearly!$D:$AM, 28, FALSE) / VLOOKUP("industry|NOx|Minor restricted activity days", US_national_yearly!$D:$AM, 10, FALSE), 1)</f>
        <v>7.8970713203873784E-3</v>
      </c>
      <c r="U14" s="7">
        <f>$B14 * IFERROR(VLOOKUP("industry|NOx|Minor restricted activity days", US_national_yearly!$D:$AM, 29, FALSE) / VLOOKUP("industry|NOx|Minor restricted activity days", US_national_yearly!$D:$AM, 10, FALSE), 1)</f>
        <v>7.9524555238800372E-3</v>
      </c>
      <c r="V14" s="7">
        <f>$B14 * IFERROR(VLOOKUP("industry|NOx|Minor restricted activity days", US_national_yearly!$D:$AM, 30, FALSE) / VLOOKUP("industry|NOx|Minor restricted activity days", US_national_yearly!$D:$AM, 10, FALSE), 1)</f>
        <v>8.0078397273726978E-3</v>
      </c>
      <c r="W14" s="7">
        <f>$B14 * IFERROR(VLOOKUP("industry|NOx|Minor restricted activity days", US_national_yearly!$D:$AM, 31, FALSE) / VLOOKUP("industry|NOx|Minor restricted activity days", US_national_yearly!$D:$AM, 10, FALSE), 1)</f>
        <v>8.0632239308653566E-3</v>
      </c>
      <c r="X14" s="7">
        <f>$B14 * IFERROR(VLOOKUP("industry|NOx|Minor restricted activity days", US_national_yearly!$D:$AM, 32, FALSE) / VLOOKUP("industry|NOx|Minor restricted activity days", US_national_yearly!$D:$AM, 10, FALSE), 1)</f>
        <v>8.1099840055692384E-3</v>
      </c>
      <c r="Y14" s="7">
        <f>$B14 * IFERROR(VLOOKUP("industry|NOx|Minor restricted activity days", US_national_yearly!$D:$AM, 33, FALSE) / VLOOKUP("industry|NOx|Minor restricted activity days", US_national_yearly!$D:$AM, 10, FALSE), 1)</f>
        <v>8.1567440802731185E-3</v>
      </c>
      <c r="Z14" s="7">
        <f>$B14 * IFERROR(VLOOKUP("industry|NOx|Minor restricted activity days", US_national_yearly!$D:$AM, 34, FALSE) / VLOOKUP("industry|NOx|Minor restricted activity days", US_national_yearly!$D:$AM, 10, FALSE), 1)</f>
        <v>8.2035041549769986E-3</v>
      </c>
      <c r="AA14" s="7">
        <f>$B14 * IFERROR(VLOOKUP("industry|NOx|Minor restricted activity days", US_national_yearly!$D:$AM, 35, FALSE) / VLOOKUP("industry|NOx|Minor restricted activity days", US_national_yearly!$D:$AM, 10, FALSE), 1)</f>
        <v>8.2502642296808804E-3</v>
      </c>
      <c r="AB14" s="7">
        <f>$B14 * IFERROR(VLOOKUP("industry|NOx|Minor restricted activity days", US_national_yearly!$D:$AM, 36, FALSE) / VLOOKUP("industry|NOx|Minor restricted activity days", US_national_yearly!$D:$AM, 10, FALSE), 1)</f>
        <v>8.2970243043847623E-3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1.2283755971803237E-3</v>
      </c>
      <c r="C15" s="7">
        <f>$B15 * IFERROR(VLOOKUP("industry|NOx|Work loss days", US_national_yearly!$D:$AM, 11, FALSE) / VLOOKUP("industry|NOx|Work loss days", US_national_yearly!$D:$AM, 10, FALSE), 1)</f>
        <v>1.2310370901871845E-3</v>
      </c>
      <c r="D15" s="7">
        <f>$B15 * IFERROR(VLOOKUP("industry|NOx|Work loss days", US_national_yearly!$D:$AM, 12, FALSE) / VLOOKUP("industry|NOx|Work loss days", US_national_yearly!$D:$AM, 10, FALSE), 1)</f>
        <v>1.2336985831940446E-3</v>
      </c>
      <c r="E15" s="7">
        <f>$B15 * IFERROR(VLOOKUP("industry|NOx|Work loss days", US_national_yearly!$D:$AM, 13, FALSE) / VLOOKUP("industry|NOx|Work loss days", US_national_yearly!$D:$AM, 10, FALSE), 1)</f>
        <v>1.2363600762009053E-3</v>
      </c>
      <c r="F15" s="7">
        <f>$B15 * IFERROR(VLOOKUP("industry|NOx|Work loss days", US_national_yearly!$D:$AM, 14, FALSE) / VLOOKUP("industry|NOx|Work loss days", US_national_yearly!$D:$AM, 10, FALSE), 1)</f>
        <v>1.2390215692077656E-3</v>
      </c>
      <c r="G15" s="7">
        <f>$B15 * IFERROR(VLOOKUP("industry|NOx|Work loss days", US_national_yearly!$D:$AM, 15, FALSE) / VLOOKUP("industry|NOx|Work loss days", US_national_yearly!$D:$AM, 10, FALSE), 1)</f>
        <v>1.2429146659549404E-3</v>
      </c>
      <c r="H15" s="7">
        <f>$B15 * IFERROR(VLOOKUP("industry|NOx|Work loss days", US_national_yearly!$D:$AM, 16, FALSE) / VLOOKUP("industry|NOx|Work loss days", US_national_yearly!$D:$AM, 10, FALSE), 1)</f>
        <v>1.2468077627021154E-3</v>
      </c>
      <c r="I15" s="7">
        <f>$B15 * IFERROR(VLOOKUP("industry|NOx|Work loss days", US_national_yearly!$D:$AM, 17, FALSE) / VLOOKUP("industry|NOx|Work loss days", US_national_yearly!$D:$AM, 10, FALSE), 1)</f>
        <v>1.2531330578036727E-3</v>
      </c>
      <c r="J15" s="7">
        <f>$B15 * IFERROR(VLOOKUP("industry|NOx|Work loss days", US_national_yearly!$D:$AM, 18, FALSE) / VLOOKUP("industry|NOx|Work loss days", US_national_yearly!$D:$AM, 10, FALSE), 1)</f>
        <v>1.2594583529052295E-3</v>
      </c>
      <c r="K15" s="7">
        <f>$B15 * IFERROR(VLOOKUP("industry|NOx|Work loss days", US_national_yearly!$D:$AM, 19, FALSE) / VLOOKUP("industry|NOx|Work loss days", US_national_yearly!$D:$AM, 10, FALSE), 1)</f>
        <v>1.2657836480067868E-3</v>
      </c>
      <c r="L15" s="7">
        <f>$B15 * IFERROR(VLOOKUP("industry|NOx|Work loss days", US_national_yearly!$D:$AM, 20, FALSE) / VLOOKUP("industry|NOx|Work loss days", US_national_yearly!$D:$AM, 10, FALSE), 1)</f>
        <v>1.2721089431083439E-3</v>
      </c>
      <c r="M15" s="7">
        <f>$B15 * IFERROR(VLOOKUP("industry|NOx|Work loss days", US_national_yearly!$D:$AM, 21, FALSE) / VLOOKUP("industry|NOx|Work loss days", US_national_yearly!$D:$AM, 10, FALSE), 1)</f>
        <v>1.2784342382099012E-3</v>
      </c>
      <c r="N15" s="7">
        <f>$B15 * IFERROR(VLOOKUP("industry|NOx|Work loss days", US_national_yearly!$D:$AM, 22, FALSE) / VLOOKUP("industry|NOx|Work loss days", US_national_yearly!$D:$AM, 10, FALSE), 1)</f>
        <v>1.2867062897728271E-3</v>
      </c>
      <c r="O15" s="7">
        <f>$B15 * IFERROR(VLOOKUP("industry|NOx|Work loss days", US_national_yearly!$D:$AM, 23, FALSE) / VLOOKUP("industry|NOx|Work loss days", US_national_yearly!$D:$AM, 10, FALSE), 1)</f>
        <v>1.2949783413357535E-3</v>
      </c>
      <c r="P15" s="7">
        <f>$B15 * IFERROR(VLOOKUP("industry|NOx|Work loss days", US_national_yearly!$D:$AM, 24, FALSE) / VLOOKUP("industry|NOx|Work loss days", US_national_yearly!$D:$AM, 10, FALSE), 1)</f>
        <v>1.3032503928986797E-3</v>
      </c>
      <c r="Q15" s="7">
        <f>$B15 * IFERROR(VLOOKUP("industry|NOx|Work loss days", US_national_yearly!$D:$AM, 25, FALSE) / VLOOKUP("industry|NOx|Work loss days", US_national_yearly!$D:$AM, 10, FALSE), 1)</f>
        <v>1.3115224444616058E-3</v>
      </c>
      <c r="R15" s="7">
        <f>$B15 * IFERROR(VLOOKUP("industry|NOx|Work loss days", US_national_yearly!$D:$AM, 26, FALSE) / VLOOKUP("industry|NOx|Work loss days", US_national_yearly!$D:$AM, 10, FALSE), 1)</f>
        <v>1.3197944960245322E-3</v>
      </c>
      <c r="S15" s="7">
        <f>$B15 * IFERROR(VLOOKUP("industry|NOx|Work loss days", US_national_yearly!$D:$AM, 27, FALSE) / VLOOKUP("industry|NOx|Work loss days", US_national_yearly!$D:$AM, 10, FALSE), 1)</f>
        <v>1.3290421486179386E-3</v>
      </c>
      <c r="T15" s="7">
        <f>$B15 * IFERROR(VLOOKUP("industry|NOx|Work loss days", US_national_yearly!$D:$AM, 28, FALSE) / VLOOKUP("industry|NOx|Work loss days", US_national_yearly!$D:$AM, 10, FALSE), 1)</f>
        <v>1.3382898012113454E-3</v>
      </c>
      <c r="U15" s="7">
        <f>$B15 * IFERROR(VLOOKUP("industry|NOx|Work loss days", US_national_yearly!$D:$AM, 29, FALSE) / VLOOKUP("industry|NOx|Work loss days", US_national_yearly!$D:$AM, 10, FALSE), 1)</f>
        <v>1.3475374538047522E-3</v>
      </c>
      <c r="V15" s="7">
        <f>$B15 * IFERROR(VLOOKUP("industry|NOx|Work loss days", US_national_yearly!$D:$AM, 30, FALSE) / VLOOKUP("industry|NOx|Work loss days", US_national_yearly!$D:$AM, 10, FALSE), 1)</f>
        <v>1.3567851063981588E-3</v>
      </c>
      <c r="W15" s="7">
        <f>$B15 * IFERROR(VLOOKUP("industry|NOx|Work loss days", US_national_yearly!$D:$AM, 31, FALSE) / VLOOKUP("industry|NOx|Work loss days", US_national_yearly!$D:$AM, 10, FALSE), 1)</f>
        <v>1.3660327589915657E-3</v>
      </c>
      <c r="X15" s="7">
        <f>$B15 * IFERROR(VLOOKUP("industry|NOx|Work loss days", US_national_yearly!$D:$AM, 32, FALSE) / VLOOKUP("industry|NOx|Work loss days", US_national_yearly!$D:$AM, 10, FALSE), 1)</f>
        <v>1.3740554201281973E-3</v>
      </c>
      <c r="Y15" s="7">
        <f>$B15 * IFERROR(VLOOKUP("industry|NOx|Work loss days", US_national_yearly!$D:$AM, 33, FALSE) / VLOOKUP("industry|NOx|Work loss days", US_national_yearly!$D:$AM, 10, FALSE), 1)</f>
        <v>1.382078081264829E-3</v>
      </c>
      <c r="Z15" s="7">
        <f>$B15 * IFERROR(VLOOKUP("industry|NOx|Work loss days", US_national_yearly!$D:$AM, 34, FALSE) / VLOOKUP("industry|NOx|Work loss days", US_national_yearly!$D:$AM, 10, FALSE), 1)</f>
        <v>1.3901007424014606E-3</v>
      </c>
      <c r="AA15" s="7">
        <f>$B15 * IFERROR(VLOOKUP("industry|NOx|Work loss days", US_national_yearly!$D:$AM, 35, FALSE) / VLOOKUP("industry|NOx|Work loss days", US_national_yearly!$D:$AM, 10, FALSE), 1)</f>
        <v>1.3981234035380921E-3</v>
      </c>
      <c r="AB15" s="7">
        <f>$B15 * IFERROR(VLOOKUP("industry|NOx|Work loss days", US_national_yearly!$D:$AM, 36, FALSE) / VLOOKUP("industry|NOx|Work loss days", US_national_yearly!$D:$AM, 10, FALSE), 1)</f>
        <v>1.4061460646747237E-3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1.5247952457543913E-6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1.5695673071319803E-6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1.6143393685095693E-6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1.6591114298871584E-6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1.7038834912647476E-6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1.7464359396089654E-6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1.7889883879531836E-6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1.8248631808791725E-6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1.8607379738051614E-6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1.8966127667311501E-6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1.9324875596571392E-6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1.9683623525831274E-6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1.9908214492279254E-6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2.0132805458727225E-6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2.0357396425175196E-6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2.0581987391623172E-6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2.0806578358071143E-6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2.0910186588054094E-6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2.101379481803705E-6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2.1117403048020006E-6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2.1221011278002957E-6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2.1324619507985913E-6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2.1383157433835111E-6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2.1441695359684308E-6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2.1500233285533506E-6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2.1558771211382704E-6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2.1617309137231906E-6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2.8757772025067737E-4</v>
      </c>
      <c r="C2" s="7">
        <f>$B2 * IFERROR(VLOOKUP("industry|SO2|Premature mortality", US_national_yearly!$D:$AM, 11, FALSE) / VLOOKUP("industry|SO2|Premature mortality", US_national_yearly!$D:$AM, 10, FALSE), 1)</f>
        <v>2.9122331502783771E-4</v>
      </c>
      <c r="D2" s="7">
        <f>$B2 * IFERROR(VLOOKUP("industry|SO2|Premature mortality", US_national_yearly!$D:$AM, 12, FALSE) / VLOOKUP("industry|SO2|Premature mortality", US_national_yearly!$D:$AM, 10, FALSE), 1)</f>
        <v>2.9486890980499799E-4</v>
      </c>
      <c r="E2" s="7">
        <f>$B2 * IFERROR(VLOOKUP("industry|SO2|Premature mortality", US_national_yearly!$D:$AM, 13, FALSE) / VLOOKUP("industry|SO2|Premature mortality", US_national_yearly!$D:$AM, 10, FALSE), 1)</f>
        <v>2.9851450458215828E-4</v>
      </c>
      <c r="F2" s="7">
        <f>$B2 * IFERROR(VLOOKUP("industry|SO2|Premature mortality", US_national_yearly!$D:$AM, 14, FALSE) / VLOOKUP("industry|SO2|Premature mortality", US_national_yearly!$D:$AM, 10, FALSE), 1)</f>
        <v>3.0216009935931862E-4</v>
      </c>
      <c r="G2" s="7">
        <f>$B2 * IFERROR(VLOOKUP("industry|SO2|Premature mortality", US_national_yearly!$D:$AM, 15, FALSE) / VLOOKUP("industry|SO2|Premature mortality", US_national_yearly!$D:$AM, 10, FALSE), 1)</f>
        <v>3.091868506493734E-4</v>
      </c>
      <c r="H2" s="7">
        <f>$B2 * IFERROR(VLOOKUP("industry|SO2|Premature mortality", US_national_yearly!$D:$AM, 16, FALSE) / VLOOKUP("industry|SO2|Premature mortality", US_national_yearly!$D:$AM, 10, FALSE), 1)</f>
        <v>3.1621360193942813E-4</v>
      </c>
      <c r="I2" s="7">
        <f>$B2 * IFERROR(VLOOKUP("industry|SO2|Premature mortality", US_national_yearly!$D:$AM, 17, FALSE) / VLOOKUP("industry|SO2|Premature mortality", US_national_yearly!$D:$AM, 10, FALSE), 1)</f>
        <v>3.2086651097804091E-4</v>
      </c>
      <c r="J2" s="7">
        <f>$B2 * IFERROR(VLOOKUP("industry|SO2|Premature mortality", US_national_yearly!$D:$AM, 18, FALSE) / VLOOKUP("industry|SO2|Premature mortality", US_national_yearly!$D:$AM, 10, FALSE), 1)</f>
        <v>3.2551942001665364E-4</v>
      </c>
      <c r="K2" s="7">
        <f>$B2 * IFERROR(VLOOKUP("industry|SO2|Premature mortality", US_national_yearly!$D:$AM, 19, FALSE) / VLOOKUP("industry|SO2|Premature mortality", US_national_yearly!$D:$AM, 10, FALSE), 1)</f>
        <v>3.3017232905526637E-4</v>
      </c>
      <c r="L2" s="7">
        <f>$B2 * IFERROR(VLOOKUP("industry|SO2|Premature mortality", US_national_yearly!$D:$AM, 20, FALSE) / VLOOKUP("industry|SO2|Premature mortality", US_national_yearly!$D:$AM, 10, FALSE), 1)</f>
        <v>3.3482523809387916E-4</v>
      </c>
      <c r="M2" s="7">
        <f>$B2 * IFERROR(VLOOKUP("industry|SO2|Premature mortality", US_national_yearly!$D:$AM, 21, FALSE) / VLOOKUP("industry|SO2|Premature mortality", US_national_yearly!$D:$AM, 10, FALSE), 1)</f>
        <v>3.3947814713249189E-4</v>
      </c>
      <c r="N2" s="7">
        <f>$B2 * IFERROR(VLOOKUP("industry|SO2|Premature mortality", US_national_yearly!$D:$AM, 22, FALSE) / VLOOKUP("industry|SO2|Premature mortality", US_national_yearly!$D:$AM, 10, FALSE), 1)</f>
        <v>3.4311782828267448E-4</v>
      </c>
      <c r="O2" s="7">
        <f>$B2 * IFERROR(VLOOKUP("industry|SO2|Premature mortality", US_national_yearly!$D:$AM, 23, FALSE) / VLOOKUP("industry|SO2|Premature mortality", US_national_yearly!$D:$AM, 10, FALSE), 1)</f>
        <v>3.4675750943285701E-4</v>
      </c>
      <c r="P2" s="7">
        <f>$B2 * IFERROR(VLOOKUP("industry|SO2|Premature mortality", US_national_yearly!$D:$AM, 24, FALSE) / VLOOKUP("industry|SO2|Premature mortality", US_national_yearly!$D:$AM, 10, FALSE), 1)</f>
        <v>3.503971905830396E-4</v>
      </c>
      <c r="Q2" s="7">
        <f>$B2 * IFERROR(VLOOKUP("industry|SO2|Premature mortality", US_national_yearly!$D:$AM, 25, FALSE) / VLOOKUP("industry|SO2|Premature mortality", US_national_yearly!$D:$AM, 10, FALSE), 1)</f>
        <v>3.5403687173322218E-4</v>
      </c>
      <c r="R2" s="7">
        <f>$B2 * IFERROR(VLOOKUP("industry|SO2|Premature mortality", US_national_yearly!$D:$AM, 26, FALSE) / VLOOKUP("industry|SO2|Premature mortality", US_national_yearly!$D:$AM, 10, FALSE), 1)</f>
        <v>3.5767655288340472E-4</v>
      </c>
      <c r="S2" s="7">
        <f>$B2 * IFERROR(VLOOKUP("industry|SO2|Premature mortality", US_national_yearly!$D:$AM, 27, FALSE) / VLOOKUP("industry|SO2|Premature mortality", US_national_yearly!$D:$AM, 10, FALSE), 1)</f>
        <v>3.5964178019198026E-4</v>
      </c>
      <c r="T2" s="7">
        <f>$B2 * IFERROR(VLOOKUP("industry|SO2|Premature mortality", US_national_yearly!$D:$AM, 28, FALSE) / VLOOKUP("industry|SO2|Premature mortality", US_national_yearly!$D:$AM, 10, FALSE), 1)</f>
        <v>3.616070075005558E-4</v>
      </c>
      <c r="U2" s="7">
        <f>$B2 * IFERROR(VLOOKUP("industry|SO2|Premature mortality", US_national_yearly!$D:$AM, 29, FALSE) / VLOOKUP("industry|SO2|Premature mortality", US_national_yearly!$D:$AM, 10, FALSE), 1)</f>
        <v>3.6357223480913144E-4</v>
      </c>
      <c r="V2" s="7">
        <f>$B2 * IFERROR(VLOOKUP("industry|SO2|Premature mortality", US_national_yearly!$D:$AM, 30, FALSE) / VLOOKUP("industry|SO2|Premature mortality", US_national_yearly!$D:$AM, 10, FALSE), 1)</f>
        <v>3.6553746211770704E-4</v>
      </c>
      <c r="W2" s="7">
        <f>$B2 * IFERROR(VLOOKUP("industry|SO2|Premature mortality", US_national_yearly!$D:$AM, 31, FALSE) / VLOOKUP("industry|SO2|Premature mortality", US_national_yearly!$D:$AM, 10, FALSE), 1)</f>
        <v>3.6750268942628258E-4</v>
      </c>
      <c r="X2" s="7">
        <f>$B2 * IFERROR(VLOOKUP("industry|SO2|Premature mortality", US_national_yearly!$D:$AM, 32, FALSE) / VLOOKUP("industry|SO2|Premature mortality", US_national_yearly!$D:$AM, 10, FALSE), 1)</f>
        <v>3.6792566630985149E-4</v>
      </c>
      <c r="Y2" s="7">
        <f>$B2 * IFERROR(VLOOKUP("industry|SO2|Premature mortality", US_national_yearly!$D:$AM, 33, FALSE) / VLOOKUP("industry|SO2|Premature mortality", US_national_yearly!$D:$AM, 10, FALSE), 1)</f>
        <v>3.6834864319342035E-4</v>
      </c>
      <c r="Z2" s="7">
        <f>$B2 * IFERROR(VLOOKUP("industry|SO2|Premature mortality", US_national_yearly!$D:$AM, 34, FALSE) / VLOOKUP("industry|SO2|Premature mortality", US_national_yearly!$D:$AM, 10, FALSE), 1)</f>
        <v>3.6877162007698926E-4</v>
      </c>
      <c r="AA2" s="7">
        <f>$B2 * IFERROR(VLOOKUP("industry|SO2|Premature mortality", US_national_yearly!$D:$AM, 35, FALSE) / VLOOKUP("industry|SO2|Premature mortality", US_national_yearly!$D:$AM, 10, FALSE), 1)</f>
        <v>3.6919459696055818E-4</v>
      </c>
      <c r="AB2" s="7">
        <f>$B2 * IFERROR(VLOOKUP("industry|SO2|Premature mortality", US_national_yearly!$D:$AM, 36, FALSE) / VLOOKUP("industry|SO2|Premature mortality", US_national_yearly!$D:$AM, 10, FALSE), 1)</f>
        <v>3.6961757384412704E-4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7.0959945806443136E-7</v>
      </c>
      <c r="C3" s="7">
        <f>$B3 * IFERROR(VLOOKUP("industry|SO2|Infant mortality", US_national_yearly!$D:$AM, 11, FALSE) / VLOOKUP("industry|SO2|Infant mortality", US_national_yearly!$D:$AM, 10, FALSE), 1)</f>
        <v>7.0349471920469221E-7</v>
      </c>
      <c r="D3" s="7">
        <f>$B3 * IFERROR(VLOOKUP("industry|SO2|Infant mortality", US_national_yearly!$D:$AM, 12, FALSE) / VLOOKUP("industry|SO2|Infant mortality", US_national_yearly!$D:$AM, 10, FALSE), 1)</f>
        <v>6.9738998034495306E-7</v>
      </c>
      <c r="E3" s="7">
        <f>$B3 * IFERROR(VLOOKUP("industry|SO2|Infant mortality", US_national_yearly!$D:$AM, 13, FALSE) / VLOOKUP("industry|SO2|Infant mortality", US_national_yearly!$D:$AM, 10, FALSE), 1)</f>
        <v>6.9128524148521392E-7</v>
      </c>
      <c r="F3" s="7">
        <f>$B3 * IFERROR(VLOOKUP("industry|SO2|Infant mortality", US_national_yearly!$D:$AM, 14, FALSE) / VLOOKUP("industry|SO2|Infant mortality", US_national_yearly!$D:$AM, 10, FALSE), 1)</f>
        <v>6.8518050262547477E-7</v>
      </c>
      <c r="G3" s="7">
        <f>$B3 * IFERROR(VLOOKUP("industry|SO2|Infant mortality", US_national_yearly!$D:$AM, 15, FALSE) / VLOOKUP("industry|SO2|Infant mortality", US_national_yearly!$D:$AM, 10, FALSE), 1)</f>
        <v>4.5612352749235666E-7</v>
      </c>
      <c r="H3" s="7">
        <f>$B3 * IFERROR(VLOOKUP("industry|SO2|Infant mortality", US_national_yearly!$D:$AM, 16, FALSE) / VLOOKUP("industry|SO2|Infant mortality", US_national_yearly!$D:$AM, 10, FALSE), 1)</f>
        <v>2.2706655235923858E-7</v>
      </c>
      <c r="I3" s="7">
        <f>$B3 * IFERROR(VLOOKUP("industry|SO2|Infant mortality", US_national_yearly!$D:$AM, 17, FALSE) / VLOOKUP("industry|SO2|Infant mortality", US_national_yearly!$D:$AM, 10, FALSE), 1)</f>
        <v>2.2562469911842995E-7</v>
      </c>
      <c r="J3" s="7">
        <f>$B3 * IFERROR(VLOOKUP("industry|SO2|Infant mortality", US_national_yearly!$D:$AM, 18, FALSE) / VLOOKUP("industry|SO2|Infant mortality", US_national_yearly!$D:$AM, 10, FALSE), 1)</f>
        <v>2.241828458776213E-7</v>
      </c>
      <c r="K3" s="7">
        <f>$B3 * IFERROR(VLOOKUP("industry|SO2|Infant mortality", US_national_yearly!$D:$AM, 19, FALSE) / VLOOKUP("industry|SO2|Infant mortality", US_national_yearly!$D:$AM, 10, FALSE), 1)</f>
        <v>2.2274099263681268E-7</v>
      </c>
      <c r="L3" s="7">
        <f>$B3 * IFERROR(VLOOKUP("industry|SO2|Infant mortality", US_national_yearly!$D:$AM, 20, FALSE) / VLOOKUP("industry|SO2|Infant mortality", US_national_yearly!$D:$AM, 10, FALSE), 1)</f>
        <v>2.2129913939600403E-7</v>
      </c>
      <c r="M3" s="7">
        <f>$B3 * IFERROR(VLOOKUP("industry|SO2|Infant mortality", US_national_yearly!$D:$AM, 21, FALSE) / VLOOKUP("industry|SO2|Infant mortality", US_national_yearly!$D:$AM, 10, FALSE), 1)</f>
        <v>2.198572861551954E-7</v>
      </c>
      <c r="N3" s="7">
        <f>$B3 * IFERROR(VLOOKUP("industry|SO2|Infant mortality", US_national_yearly!$D:$AM, 22, FALSE) / VLOOKUP("industry|SO2|Infant mortality", US_national_yearly!$D:$AM, 10, FALSE), 1)</f>
        <v>2.189434327974198E-7</v>
      </c>
      <c r="O3" s="7">
        <f>$B3 * IFERROR(VLOOKUP("industry|SO2|Infant mortality", US_national_yearly!$D:$AM, 23, FALSE) / VLOOKUP("industry|SO2|Infant mortality", US_national_yearly!$D:$AM, 10, FALSE), 1)</f>
        <v>2.180295794396442E-7</v>
      </c>
      <c r="P3" s="7">
        <f>$B3 * IFERROR(VLOOKUP("industry|SO2|Infant mortality", US_national_yearly!$D:$AM, 24, FALSE) / VLOOKUP("industry|SO2|Infant mortality", US_national_yearly!$D:$AM, 10, FALSE), 1)</f>
        <v>2.171157260818686E-7</v>
      </c>
      <c r="Q3" s="7">
        <f>$B3 * IFERROR(VLOOKUP("industry|SO2|Infant mortality", US_national_yearly!$D:$AM, 25, FALSE) / VLOOKUP("industry|SO2|Infant mortality", US_national_yearly!$D:$AM, 10, FALSE), 1)</f>
        <v>2.16201872724093E-7</v>
      </c>
      <c r="R3" s="7">
        <f>$B3 * IFERROR(VLOOKUP("industry|SO2|Infant mortality", US_national_yearly!$D:$AM, 26, FALSE) / VLOOKUP("industry|SO2|Infant mortality", US_national_yearly!$D:$AM, 10, FALSE), 1)</f>
        <v>2.1528801936631743E-7</v>
      </c>
      <c r="S3" s="7">
        <f>$B3 * IFERROR(VLOOKUP("industry|SO2|Infant mortality", US_national_yearly!$D:$AM, 27, FALSE) / VLOOKUP("industry|SO2|Infant mortality", US_national_yearly!$D:$AM, 10, FALSE), 1)</f>
        <v>2.1415073928751615E-7</v>
      </c>
      <c r="T3" s="7">
        <f>$B3 * IFERROR(VLOOKUP("industry|SO2|Infant mortality", US_national_yearly!$D:$AM, 28, FALSE) / VLOOKUP("industry|SO2|Infant mortality", US_national_yearly!$D:$AM, 10, FALSE), 1)</f>
        <v>2.1301345920871487E-7</v>
      </c>
      <c r="U3" s="7">
        <f>$B3 * IFERROR(VLOOKUP("industry|SO2|Infant mortality", US_national_yearly!$D:$AM, 29, FALSE) / VLOOKUP("industry|SO2|Infant mortality", US_national_yearly!$D:$AM, 10, FALSE), 1)</f>
        <v>2.1187617912991362E-7</v>
      </c>
      <c r="V3" s="7">
        <f>$B3 * IFERROR(VLOOKUP("industry|SO2|Infant mortality", US_national_yearly!$D:$AM, 30, FALSE) / VLOOKUP("industry|SO2|Infant mortality", US_national_yearly!$D:$AM, 10, FALSE), 1)</f>
        <v>2.1073889905111235E-7</v>
      </c>
      <c r="W3" s="7">
        <f>$B3 * IFERROR(VLOOKUP("industry|SO2|Infant mortality", US_national_yearly!$D:$AM, 31, FALSE) / VLOOKUP("industry|SO2|Infant mortality", US_national_yearly!$D:$AM, 10, FALSE), 1)</f>
        <v>2.0960161897231107E-7</v>
      </c>
      <c r="X3" s="7">
        <f>$B3 * IFERROR(VLOOKUP("industry|SO2|Infant mortality", US_national_yearly!$D:$AM, 32, FALSE) / VLOOKUP("industry|SO2|Infant mortality", US_national_yearly!$D:$AM, 10, FALSE), 1)</f>
        <v>2.0836573491501728E-7</v>
      </c>
      <c r="Y3" s="7">
        <f>$B3 * IFERROR(VLOOKUP("industry|SO2|Infant mortality", US_national_yearly!$D:$AM, 33, FALSE) / VLOOKUP("industry|SO2|Infant mortality", US_national_yearly!$D:$AM, 10, FALSE), 1)</f>
        <v>2.0712985085772347E-7</v>
      </c>
      <c r="Z3" s="7">
        <f>$B3 * IFERROR(VLOOKUP("industry|SO2|Infant mortality", US_national_yearly!$D:$AM, 34, FALSE) / VLOOKUP("industry|SO2|Infant mortality", US_national_yearly!$D:$AM, 10, FALSE), 1)</f>
        <v>2.0589396680042966E-7</v>
      </c>
      <c r="AA3" s="7">
        <f>$B3 * IFERROR(VLOOKUP("industry|SO2|Infant mortality", US_national_yearly!$D:$AM, 35, FALSE) / VLOOKUP("industry|SO2|Infant mortality", US_national_yearly!$D:$AM, 10, FALSE), 1)</f>
        <v>2.0465808274313584E-7</v>
      </c>
      <c r="AB3" s="7">
        <f>$B3 * IFERROR(VLOOKUP("industry|SO2|Infant mortality", US_national_yearly!$D:$AM, 36, FALSE) / VLOOKUP("industry|SO2|Infant mortality", US_national_yearly!$D:$AM, 10, FALSE), 1)</f>
        <v>2.0342219868584203E-7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8.3227450782413868E-4</v>
      </c>
      <c r="C6" s="7">
        <f>$B6 * IFERROR(VLOOKUP("industry|SO2|Asthma symptoms cough", US_national_yearly!$D:$AM, 11, FALSE) / VLOOKUP("industry|SO2|Asthma symptoms cough", US_national_yearly!$D:$AM, 10, FALSE), 1)</f>
        <v>8.3227450782413868E-4</v>
      </c>
      <c r="D6" s="7">
        <f>$B6 * IFERROR(VLOOKUP("industry|SO2|Asthma symptoms cough", US_national_yearly!$D:$AM, 12, FALSE) / VLOOKUP("industry|SO2|Asthma symptoms cough", US_national_yearly!$D:$AM, 10, FALSE), 1)</f>
        <v>8.3227450782413868E-4</v>
      </c>
      <c r="E6" s="7">
        <f>$B6 * IFERROR(VLOOKUP("industry|SO2|Asthma symptoms cough", US_national_yearly!$D:$AM, 13, FALSE) / VLOOKUP("industry|SO2|Asthma symptoms cough", US_national_yearly!$D:$AM, 10, FALSE), 1)</f>
        <v>8.3227450782413868E-4</v>
      </c>
      <c r="F6" s="7">
        <f>$B6 * IFERROR(VLOOKUP("industry|SO2|Asthma symptoms cough", US_national_yearly!$D:$AM, 14, FALSE) / VLOOKUP("industry|SO2|Asthma symptoms cough", US_national_yearly!$D:$AM, 10, FALSE), 1)</f>
        <v>8.3227450782413868E-4</v>
      </c>
      <c r="G6" s="7">
        <f>$B6 * IFERROR(VLOOKUP("industry|SO2|Asthma symptoms cough", US_national_yearly!$D:$AM, 15, FALSE) / VLOOKUP("industry|SO2|Asthma symptoms cough", US_national_yearly!$D:$AM, 10, FALSE), 1)</f>
        <v>8.3227450782413868E-4</v>
      </c>
      <c r="H6" s="7">
        <f>$B6 * IFERROR(VLOOKUP("industry|SO2|Asthma symptoms cough", US_national_yearly!$D:$AM, 16, FALSE) / VLOOKUP("industry|SO2|Asthma symptoms cough", US_national_yearly!$D:$AM, 10, FALSE), 1)</f>
        <v>8.3227450782413868E-4</v>
      </c>
      <c r="I6" s="7">
        <f>$B6 * IFERROR(VLOOKUP("industry|SO2|Asthma symptoms cough", US_national_yearly!$D:$AM, 17, FALSE) / VLOOKUP("industry|SO2|Asthma symptoms cough", US_national_yearly!$D:$AM, 10, FALSE), 1)</f>
        <v>8.3227450782413868E-4</v>
      </c>
      <c r="J6" s="7">
        <f>$B6 * IFERROR(VLOOKUP("industry|SO2|Asthma symptoms cough", US_national_yearly!$D:$AM, 18, FALSE) / VLOOKUP("industry|SO2|Asthma symptoms cough", US_national_yearly!$D:$AM, 10, FALSE), 1)</f>
        <v>8.3227450782413868E-4</v>
      </c>
      <c r="K6" s="7">
        <f>$B6 * IFERROR(VLOOKUP("industry|SO2|Asthma symptoms cough", US_national_yearly!$D:$AM, 19, FALSE) / VLOOKUP("industry|SO2|Asthma symptoms cough", US_national_yearly!$D:$AM, 10, FALSE), 1)</f>
        <v>8.3227450782413868E-4</v>
      </c>
      <c r="L6" s="7">
        <f>$B6 * IFERROR(VLOOKUP("industry|SO2|Asthma symptoms cough", US_national_yearly!$D:$AM, 20, FALSE) / VLOOKUP("industry|SO2|Asthma symptoms cough", US_national_yearly!$D:$AM, 10, FALSE), 1)</f>
        <v>8.3227450782413868E-4</v>
      </c>
      <c r="M6" s="7">
        <f>$B6 * IFERROR(VLOOKUP("industry|SO2|Asthma symptoms cough", US_national_yearly!$D:$AM, 21, FALSE) / VLOOKUP("industry|SO2|Asthma symptoms cough", US_national_yearly!$D:$AM, 10, FALSE), 1)</f>
        <v>8.3227450782413868E-4</v>
      </c>
      <c r="N6" s="7">
        <f>$B6 * IFERROR(VLOOKUP("industry|SO2|Asthma symptoms cough", US_national_yearly!$D:$AM, 22, FALSE) / VLOOKUP("industry|SO2|Asthma symptoms cough", US_national_yearly!$D:$AM, 10, FALSE), 1)</f>
        <v>8.3227450782413868E-4</v>
      </c>
      <c r="O6" s="7">
        <f>$B6 * IFERROR(VLOOKUP("industry|SO2|Asthma symptoms cough", US_national_yearly!$D:$AM, 23, FALSE) / VLOOKUP("industry|SO2|Asthma symptoms cough", US_national_yearly!$D:$AM, 10, FALSE), 1)</f>
        <v>8.3227450782413868E-4</v>
      </c>
      <c r="P6" s="7">
        <f>$B6 * IFERROR(VLOOKUP("industry|SO2|Asthma symptoms cough", US_national_yearly!$D:$AM, 24, FALSE) / VLOOKUP("industry|SO2|Asthma symptoms cough", US_national_yearly!$D:$AM, 10, FALSE), 1)</f>
        <v>8.3227450782413868E-4</v>
      </c>
      <c r="Q6" s="7">
        <f>$B6 * IFERROR(VLOOKUP("industry|SO2|Asthma symptoms cough", US_national_yearly!$D:$AM, 25, FALSE) / VLOOKUP("industry|SO2|Asthma symptoms cough", US_national_yearly!$D:$AM, 10, FALSE), 1)</f>
        <v>8.3227450782413868E-4</v>
      </c>
      <c r="R6" s="7">
        <f>$B6 * IFERROR(VLOOKUP("industry|SO2|Asthma symptoms cough", US_national_yearly!$D:$AM, 26, FALSE) / VLOOKUP("industry|SO2|Asthma symptoms cough", US_national_yearly!$D:$AM, 10, FALSE), 1)</f>
        <v>8.3227450782413868E-4</v>
      </c>
      <c r="S6" s="7">
        <f>$B6 * IFERROR(VLOOKUP("industry|SO2|Asthma symptoms cough", US_national_yearly!$D:$AM, 27, FALSE) / VLOOKUP("industry|SO2|Asthma symptoms cough", US_national_yearly!$D:$AM, 10, FALSE), 1)</f>
        <v>8.3227450782413868E-4</v>
      </c>
      <c r="T6" s="7">
        <f>$B6 * IFERROR(VLOOKUP("industry|SO2|Asthma symptoms cough", US_national_yearly!$D:$AM, 28, FALSE) / VLOOKUP("industry|SO2|Asthma symptoms cough", US_national_yearly!$D:$AM, 10, FALSE), 1)</f>
        <v>8.3227450782413868E-4</v>
      </c>
      <c r="U6" s="7">
        <f>$B6 * IFERROR(VLOOKUP("industry|SO2|Asthma symptoms cough", US_national_yearly!$D:$AM, 29, FALSE) / VLOOKUP("industry|SO2|Asthma symptoms cough", US_national_yearly!$D:$AM, 10, FALSE), 1)</f>
        <v>8.3227450782413868E-4</v>
      </c>
      <c r="V6" s="7">
        <f>$B6 * IFERROR(VLOOKUP("industry|SO2|Asthma symptoms cough", US_national_yearly!$D:$AM, 30, FALSE) / VLOOKUP("industry|SO2|Asthma symptoms cough", US_national_yearly!$D:$AM, 10, FALSE), 1)</f>
        <v>8.3227450782413868E-4</v>
      </c>
      <c r="W6" s="7">
        <f>$B6 * IFERROR(VLOOKUP("industry|SO2|Asthma symptoms cough", US_national_yearly!$D:$AM, 31, FALSE) / VLOOKUP("industry|SO2|Asthma symptoms cough", US_national_yearly!$D:$AM, 10, FALSE), 1)</f>
        <v>8.3227450782413868E-4</v>
      </c>
      <c r="X6" s="7">
        <f>$B6 * IFERROR(VLOOKUP("industry|SO2|Asthma symptoms cough", US_national_yearly!$D:$AM, 32, FALSE) / VLOOKUP("industry|SO2|Asthma symptoms cough", US_national_yearly!$D:$AM, 10, FALSE), 1)</f>
        <v>8.3227450782413868E-4</v>
      </c>
      <c r="Y6" s="7">
        <f>$B6 * IFERROR(VLOOKUP("industry|SO2|Asthma symptoms cough", US_national_yearly!$D:$AM, 33, FALSE) / VLOOKUP("industry|SO2|Asthma symptoms cough", US_national_yearly!$D:$AM, 10, FALSE), 1)</f>
        <v>8.3227450782413868E-4</v>
      </c>
      <c r="Z6" s="7">
        <f>$B6 * IFERROR(VLOOKUP("industry|SO2|Asthma symptoms cough", US_national_yearly!$D:$AM, 34, FALSE) / VLOOKUP("industry|SO2|Asthma symptoms cough", US_national_yearly!$D:$AM, 10, FALSE), 1)</f>
        <v>8.3227450782413868E-4</v>
      </c>
      <c r="AA6" s="7">
        <f>$B6 * IFERROR(VLOOKUP("industry|SO2|Asthma symptoms cough", US_national_yearly!$D:$AM, 35, FALSE) / VLOOKUP("industry|SO2|Asthma symptoms cough", US_national_yearly!$D:$AM, 10, FALSE), 1)</f>
        <v>8.3227450782413868E-4</v>
      </c>
      <c r="AB6" s="7">
        <f>$B6 * IFERROR(VLOOKUP("industry|SO2|Asthma symptoms cough", US_national_yearly!$D:$AM, 36, FALSE) / VLOOKUP("industry|SO2|Asthma symptoms cough", US_national_yearly!$D:$AM, 10, FALSE), 1)</f>
        <v>8.3227450782413868E-4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1.1207660812922562E-3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1.1207660812922562E-3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1.1207660812922562E-3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1.1207660812922562E-3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1.1207660812922562E-3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1.1207660812922562E-3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1.1207660812922562E-3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1.1207660812922562E-3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1.1207660812922562E-3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1.1207660812922562E-3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1.1207660812922562E-3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1.1207660812922562E-3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1.1207660812922562E-3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1.1207660812922562E-3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1.1207660812922562E-3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1.1207660812922562E-3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1.1207660812922562E-3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1.1207660812922562E-3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1.1207660812922562E-3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1.1207660812922562E-3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1.1207660812922562E-3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1.1207660812922562E-3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1.1207660812922562E-3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1.1207660812922562E-3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1.1207660812922562E-3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1.1207660812922562E-3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1.1207660812922562E-3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1.7123845332276081E-3</v>
      </c>
      <c r="C8" s="7">
        <f>$B8 * IFERROR(VLOOKUP("industry|SO2|Asthma symptoms wheeze", US_national_yearly!$D:$AM, 11, FALSE) / VLOOKUP("industry|SO2|Asthma symptoms wheeze", US_national_yearly!$D:$AM, 10, FALSE), 1)</f>
        <v>1.7123845332276081E-3</v>
      </c>
      <c r="D8" s="7">
        <f>$B8 * IFERROR(VLOOKUP("industry|SO2|Asthma symptoms wheeze", US_national_yearly!$D:$AM, 12, FALSE) / VLOOKUP("industry|SO2|Asthma symptoms wheeze", US_national_yearly!$D:$AM, 10, FALSE), 1)</f>
        <v>1.7123845332276081E-3</v>
      </c>
      <c r="E8" s="7">
        <f>$B8 * IFERROR(VLOOKUP("industry|SO2|Asthma symptoms wheeze", US_national_yearly!$D:$AM, 13, FALSE) / VLOOKUP("industry|SO2|Asthma symptoms wheeze", US_national_yearly!$D:$AM, 10, FALSE), 1)</f>
        <v>1.7123845332276081E-3</v>
      </c>
      <c r="F8" s="7">
        <f>$B8 * IFERROR(VLOOKUP("industry|SO2|Asthma symptoms wheeze", US_national_yearly!$D:$AM, 14, FALSE) / VLOOKUP("industry|SO2|Asthma symptoms wheeze", US_national_yearly!$D:$AM, 10, FALSE), 1)</f>
        <v>1.7123845332276081E-3</v>
      </c>
      <c r="G8" s="7">
        <f>$B8 * IFERROR(VLOOKUP("industry|SO2|Asthma symptoms wheeze", US_national_yearly!$D:$AM, 15, FALSE) / VLOOKUP("industry|SO2|Asthma symptoms wheeze", US_national_yearly!$D:$AM, 10, FALSE), 1)</f>
        <v>1.7123845332276081E-3</v>
      </c>
      <c r="H8" s="7">
        <f>$B8 * IFERROR(VLOOKUP("industry|SO2|Asthma symptoms wheeze", US_national_yearly!$D:$AM, 16, FALSE) / VLOOKUP("industry|SO2|Asthma symptoms wheeze", US_national_yearly!$D:$AM, 10, FALSE), 1)</f>
        <v>1.7123845332276081E-3</v>
      </c>
      <c r="I8" s="7">
        <f>$B8 * IFERROR(VLOOKUP("industry|SO2|Asthma symptoms wheeze", US_national_yearly!$D:$AM, 17, FALSE) / VLOOKUP("industry|SO2|Asthma symptoms wheeze", US_national_yearly!$D:$AM, 10, FALSE), 1)</f>
        <v>1.7123845332276081E-3</v>
      </c>
      <c r="J8" s="7">
        <f>$B8 * IFERROR(VLOOKUP("industry|SO2|Asthma symptoms wheeze", US_national_yearly!$D:$AM, 18, FALSE) / VLOOKUP("industry|SO2|Asthma symptoms wheeze", US_national_yearly!$D:$AM, 10, FALSE), 1)</f>
        <v>1.7123845332276081E-3</v>
      </c>
      <c r="K8" s="7">
        <f>$B8 * IFERROR(VLOOKUP("industry|SO2|Asthma symptoms wheeze", US_national_yearly!$D:$AM, 19, FALSE) / VLOOKUP("industry|SO2|Asthma symptoms wheeze", US_national_yearly!$D:$AM, 10, FALSE), 1)</f>
        <v>1.7123845332276081E-3</v>
      </c>
      <c r="L8" s="7">
        <f>$B8 * IFERROR(VLOOKUP("industry|SO2|Asthma symptoms wheeze", US_national_yearly!$D:$AM, 20, FALSE) / VLOOKUP("industry|SO2|Asthma symptoms wheeze", US_national_yearly!$D:$AM, 10, FALSE), 1)</f>
        <v>1.7123845332276081E-3</v>
      </c>
      <c r="M8" s="7">
        <f>$B8 * IFERROR(VLOOKUP("industry|SO2|Asthma symptoms wheeze", US_national_yearly!$D:$AM, 21, FALSE) / VLOOKUP("industry|SO2|Asthma symptoms wheeze", US_national_yearly!$D:$AM, 10, FALSE), 1)</f>
        <v>1.7123845332276081E-3</v>
      </c>
      <c r="N8" s="7">
        <f>$B8 * IFERROR(VLOOKUP("industry|SO2|Asthma symptoms wheeze", US_national_yearly!$D:$AM, 22, FALSE) / VLOOKUP("industry|SO2|Asthma symptoms wheeze", US_national_yearly!$D:$AM, 10, FALSE), 1)</f>
        <v>1.7123845332276081E-3</v>
      </c>
      <c r="O8" s="7">
        <f>$B8 * IFERROR(VLOOKUP("industry|SO2|Asthma symptoms wheeze", US_national_yearly!$D:$AM, 23, FALSE) / VLOOKUP("industry|SO2|Asthma symptoms wheeze", US_national_yearly!$D:$AM, 10, FALSE), 1)</f>
        <v>1.7123845332276081E-3</v>
      </c>
      <c r="P8" s="7">
        <f>$B8 * IFERROR(VLOOKUP("industry|SO2|Asthma symptoms wheeze", US_national_yearly!$D:$AM, 24, FALSE) / VLOOKUP("industry|SO2|Asthma symptoms wheeze", US_national_yearly!$D:$AM, 10, FALSE), 1)</f>
        <v>1.7123845332276081E-3</v>
      </c>
      <c r="Q8" s="7">
        <f>$B8 * IFERROR(VLOOKUP("industry|SO2|Asthma symptoms wheeze", US_national_yearly!$D:$AM, 25, FALSE) / VLOOKUP("industry|SO2|Asthma symptoms wheeze", US_national_yearly!$D:$AM, 10, FALSE), 1)</f>
        <v>1.7123845332276081E-3</v>
      </c>
      <c r="R8" s="7">
        <f>$B8 * IFERROR(VLOOKUP("industry|SO2|Asthma symptoms wheeze", US_national_yearly!$D:$AM, 26, FALSE) / VLOOKUP("industry|SO2|Asthma symptoms wheeze", US_national_yearly!$D:$AM, 10, FALSE), 1)</f>
        <v>1.7123845332276081E-3</v>
      </c>
      <c r="S8" s="7">
        <f>$B8 * IFERROR(VLOOKUP("industry|SO2|Asthma symptoms wheeze", US_national_yearly!$D:$AM, 27, FALSE) / VLOOKUP("industry|SO2|Asthma symptoms wheeze", US_national_yearly!$D:$AM, 10, FALSE), 1)</f>
        <v>1.7123845332276081E-3</v>
      </c>
      <c r="T8" s="7">
        <f>$B8 * IFERROR(VLOOKUP("industry|SO2|Asthma symptoms wheeze", US_national_yearly!$D:$AM, 28, FALSE) / VLOOKUP("industry|SO2|Asthma symptoms wheeze", US_national_yearly!$D:$AM, 10, FALSE), 1)</f>
        <v>1.7123845332276081E-3</v>
      </c>
      <c r="U8" s="7">
        <f>$B8 * IFERROR(VLOOKUP("industry|SO2|Asthma symptoms wheeze", US_national_yearly!$D:$AM, 29, FALSE) / VLOOKUP("industry|SO2|Asthma symptoms wheeze", US_national_yearly!$D:$AM, 10, FALSE), 1)</f>
        <v>1.7123845332276081E-3</v>
      </c>
      <c r="V8" s="7">
        <f>$B8 * IFERROR(VLOOKUP("industry|SO2|Asthma symptoms wheeze", US_national_yearly!$D:$AM, 30, FALSE) / VLOOKUP("industry|SO2|Asthma symptoms wheeze", US_national_yearly!$D:$AM, 10, FALSE), 1)</f>
        <v>1.7123845332276081E-3</v>
      </c>
      <c r="W8" s="7">
        <f>$B8 * IFERROR(VLOOKUP("industry|SO2|Asthma symptoms wheeze", US_national_yearly!$D:$AM, 31, FALSE) / VLOOKUP("industry|SO2|Asthma symptoms wheeze", US_national_yearly!$D:$AM, 10, FALSE), 1)</f>
        <v>1.7123845332276081E-3</v>
      </c>
      <c r="X8" s="7">
        <f>$B8 * IFERROR(VLOOKUP("industry|SO2|Asthma symptoms wheeze", US_national_yearly!$D:$AM, 32, FALSE) / VLOOKUP("industry|SO2|Asthma symptoms wheeze", US_national_yearly!$D:$AM, 10, FALSE), 1)</f>
        <v>1.7123845332276081E-3</v>
      </c>
      <c r="Y8" s="7">
        <f>$B8 * IFERROR(VLOOKUP("industry|SO2|Asthma symptoms wheeze", US_national_yearly!$D:$AM, 33, FALSE) / VLOOKUP("industry|SO2|Asthma symptoms wheeze", US_national_yearly!$D:$AM, 10, FALSE), 1)</f>
        <v>1.7123845332276081E-3</v>
      </c>
      <c r="Z8" s="7">
        <f>$B8 * IFERROR(VLOOKUP("industry|SO2|Asthma symptoms wheeze", US_national_yearly!$D:$AM, 34, FALSE) / VLOOKUP("industry|SO2|Asthma symptoms wheeze", US_national_yearly!$D:$AM, 10, FALSE), 1)</f>
        <v>1.7123845332276081E-3</v>
      </c>
      <c r="AA8" s="7">
        <f>$B8 * IFERROR(VLOOKUP("industry|SO2|Asthma symptoms wheeze", US_national_yearly!$D:$AM, 35, FALSE) / VLOOKUP("industry|SO2|Asthma symptoms wheeze", US_national_yearly!$D:$AM, 10, FALSE), 1)</f>
        <v>1.7123845332276081E-3</v>
      </c>
      <c r="AB8" s="7">
        <f>$B8 * IFERROR(VLOOKUP("industry|SO2|Asthma symptoms wheeze", US_national_yearly!$D:$AM, 36, FALSE) / VLOOKUP("industry|SO2|Asthma symptoms wheeze", US_national_yearly!$D:$AM, 10, FALSE), 1)</f>
        <v>1.7123845332276081E-3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1.8815402947457002E-5</v>
      </c>
      <c r="C12" s="7">
        <f>$B12 * IFERROR(VLOOKUP("industry|SO2|Respiratory hospital admissions", US_national_yearly!$D:$AM, 11, FALSE) / VLOOKUP("industry|SO2|Respiratory hospital admissions", US_national_yearly!$D:$AM, 10, FALSE), 1)</f>
        <v>1.8925625289154323E-5</v>
      </c>
      <c r="D12" s="7">
        <f>$B12 * IFERROR(VLOOKUP("industry|SO2|Respiratory hospital admissions", US_national_yearly!$D:$AM, 12, FALSE) / VLOOKUP("industry|SO2|Respiratory hospital admissions", US_national_yearly!$D:$AM, 10, FALSE), 1)</f>
        <v>1.903584763085164E-5</v>
      </c>
      <c r="E12" s="7">
        <f>$B12 * IFERROR(VLOOKUP("industry|SO2|Respiratory hospital admissions", US_national_yearly!$D:$AM, 13, FALSE) / VLOOKUP("industry|SO2|Respiratory hospital admissions", US_national_yearly!$D:$AM, 10, FALSE), 1)</f>
        <v>1.9146069972548961E-5</v>
      </c>
      <c r="F12" s="7">
        <f>$B12 * IFERROR(VLOOKUP("industry|SO2|Respiratory hospital admissions", US_national_yearly!$D:$AM, 14, FALSE) / VLOOKUP("industry|SO2|Respiratory hospital admissions", US_national_yearly!$D:$AM, 10, FALSE), 1)</f>
        <v>1.9256292314246285E-5</v>
      </c>
      <c r="G12" s="7">
        <f>$B12 * IFERROR(VLOOKUP("industry|SO2|Respiratory hospital admissions", US_national_yearly!$D:$AM, 15, FALSE) / VLOOKUP("industry|SO2|Respiratory hospital admissions", US_national_yearly!$D:$AM, 10, FALSE), 1)</f>
        <v>1.9376455988346534E-5</v>
      </c>
      <c r="H12" s="7">
        <f>$B12 * IFERROR(VLOOKUP("industry|SO2|Respiratory hospital admissions", US_national_yearly!$D:$AM, 16, FALSE) / VLOOKUP("industry|SO2|Respiratory hospital admissions", US_national_yearly!$D:$AM, 10, FALSE), 1)</f>
        <v>1.9496619662446786E-5</v>
      </c>
      <c r="I12" s="7">
        <f>$B12 * IFERROR(VLOOKUP("industry|SO2|Respiratory hospital admissions", US_national_yearly!$D:$AM, 17, FALSE) / VLOOKUP("industry|SO2|Respiratory hospital admissions", US_national_yearly!$D:$AM, 10, FALSE), 1)</f>
        <v>1.9614640093785649E-5</v>
      </c>
      <c r="J12" s="7">
        <f>$B12 * IFERROR(VLOOKUP("industry|SO2|Respiratory hospital admissions", US_national_yearly!$D:$AM, 18, FALSE) / VLOOKUP("industry|SO2|Respiratory hospital admissions", US_national_yearly!$D:$AM, 10, FALSE), 1)</f>
        <v>1.9732660525124509E-5</v>
      </c>
      <c r="K12" s="7">
        <f>$B12 * IFERROR(VLOOKUP("industry|SO2|Respiratory hospital admissions", US_national_yearly!$D:$AM, 19, FALSE) / VLOOKUP("industry|SO2|Respiratory hospital admissions", US_national_yearly!$D:$AM, 10, FALSE), 1)</f>
        <v>1.9850680956463368E-5</v>
      </c>
      <c r="L12" s="7">
        <f>$B12 * IFERROR(VLOOKUP("industry|SO2|Respiratory hospital admissions", US_national_yearly!$D:$AM, 20, FALSE) / VLOOKUP("industry|SO2|Respiratory hospital admissions", US_national_yearly!$D:$AM, 10, FALSE), 1)</f>
        <v>1.9968701387802231E-5</v>
      </c>
      <c r="M12" s="7">
        <f>$B12 * IFERROR(VLOOKUP("industry|SO2|Respiratory hospital admissions", US_national_yearly!$D:$AM, 21, FALSE) / VLOOKUP("industry|SO2|Respiratory hospital admissions", US_national_yearly!$D:$AM, 10, FALSE), 1)</f>
        <v>2.0086721819141094E-5</v>
      </c>
      <c r="N12" s="7">
        <f>$B12 * IFERROR(VLOOKUP("industry|SO2|Respiratory hospital admissions", US_national_yearly!$D:$AM, 22, FALSE) / VLOOKUP("industry|SO2|Respiratory hospital admissions", US_national_yearly!$D:$AM, 10, FALSE), 1)</f>
        <v>2.0172123064410858E-5</v>
      </c>
      <c r="O12" s="7">
        <f>$B12 * IFERROR(VLOOKUP("industry|SO2|Respiratory hospital admissions", US_national_yearly!$D:$AM, 23, FALSE) / VLOOKUP("industry|SO2|Respiratory hospital admissions", US_national_yearly!$D:$AM, 10, FALSE), 1)</f>
        <v>2.0257524309680625E-5</v>
      </c>
      <c r="P12" s="7">
        <f>$B12 * IFERROR(VLOOKUP("industry|SO2|Respiratory hospital admissions", US_national_yearly!$D:$AM, 24, FALSE) / VLOOKUP("industry|SO2|Respiratory hospital admissions", US_national_yearly!$D:$AM, 10, FALSE), 1)</f>
        <v>2.0342925554950386E-5</v>
      </c>
      <c r="Q12" s="7">
        <f>$B12 * IFERROR(VLOOKUP("industry|SO2|Respiratory hospital admissions", US_national_yearly!$D:$AM, 25, FALSE) / VLOOKUP("industry|SO2|Respiratory hospital admissions", US_national_yearly!$D:$AM, 10, FALSE), 1)</f>
        <v>2.0428326800220154E-5</v>
      </c>
      <c r="R12" s="7">
        <f>$B12 * IFERROR(VLOOKUP("industry|SO2|Respiratory hospital admissions", US_national_yearly!$D:$AM, 26, FALSE) / VLOOKUP("industry|SO2|Respiratory hospital admissions", US_national_yearly!$D:$AM, 10, FALSE), 1)</f>
        <v>2.0513728045489914E-5</v>
      </c>
      <c r="S12" s="7">
        <f>$B12 * IFERROR(VLOOKUP("industry|SO2|Respiratory hospital admissions", US_national_yearly!$D:$AM, 27, FALSE) / VLOOKUP("industry|SO2|Respiratory hospital admissions", US_national_yearly!$D:$AM, 10, FALSE), 1)</f>
        <v>2.0594888874895847E-5</v>
      </c>
      <c r="T12" s="7">
        <f>$B12 * IFERROR(VLOOKUP("industry|SO2|Respiratory hospital admissions", US_national_yearly!$D:$AM, 28, FALSE) / VLOOKUP("industry|SO2|Respiratory hospital admissions", US_national_yearly!$D:$AM, 10, FALSE), 1)</f>
        <v>2.0676049704301777E-5</v>
      </c>
      <c r="U12" s="7">
        <f>$B12 * IFERROR(VLOOKUP("industry|SO2|Respiratory hospital admissions", US_national_yearly!$D:$AM, 29, FALSE) / VLOOKUP("industry|SO2|Respiratory hospital admissions", US_national_yearly!$D:$AM, 10, FALSE), 1)</f>
        <v>2.0757210533707704E-5</v>
      </c>
      <c r="V12" s="7">
        <f>$B12 * IFERROR(VLOOKUP("industry|SO2|Respiratory hospital admissions", US_national_yearly!$D:$AM, 30, FALSE) / VLOOKUP("industry|SO2|Respiratory hospital admissions", US_national_yearly!$D:$AM, 10, FALSE), 1)</f>
        <v>2.0838371363113637E-5</v>
      </c>
      <c r="W12" s="7">
        <f>$B12 * IFERROR(VLOOKUP("industry|SO2|Respiratory hospital admissions", US_national_yearly!$D:$AM, 31, FALSE) / VLOOKUP("industry|SO2|Respiratory hospital admissions", US_national_yearly!$D:$AM, 10, FALSE), 1)</f>
        <v>2.0919532192519563E-5</v>
      </c>
      <c r="X12" s="7">
        <f>$B12 * IFERROR(VLOOKUP("industry|SO2|Respiratory hospital admissions", US_national_yearly!$D:$AM, 32, FALSE) / VLOOKUP("industry|SO2|Respiratory hospital admissions", US_national_yearly!$D:$AM, 10, FALSE), 1)</f>
        <v>2.0996603735312273E-5</v>
      </c>
      <c r="Y12" s="7">
        <f>$B12 * IFERROR(VLOOKUP("industry|SO2|Respiratory hospital admissions", US_national_yearly!$D:$AM, 33, FALSE) / VLOOKUP("industry|SO2|Respiratory hospital admissions", US_national_yearly!$D:$AM, 10, FALSE), 1)</f>
        <v>2.1073675278104982E-5</v>
      </c>
      <c r="Z12" s="7">
        <f>$B12 * IFERROR(VLOOKUP("industry|SO2|Respiratory hospital admissions", US_national_yearly!$D:$AM, 34, FALSE) / VLOOKUP("industry|SO2|Respiratory hospital admissions", US_national_yearly!$D:$AM, 10, FALSE), 1)</f>
        <v>2.1150746820897691E-5</v>
      </c>
      <c r="AA12" s="7">
        <f>$B12 * IFERROR(VLOOKUP("industry|SO2|Respiratory hospital admissions", US_national_yearly!$D:$AM, 35, FALSE) / VLOOKUP("industry|SO2|Respiratory hospital admissions", US_national_yearly!$D:$AM, 10, FALSE), 1)</f>
        <v>2.1227818363690397E-5</v>
      </c>
      <c r="AB12" s="7">
        <f>$B12 * IFERROR(VLOOKUP("industry|SO2|Respiratory hospital admissions", US_national_yearly!$D:$AM, 36, FALSE) / VLOOKUP("industry|SO2|Respiratory hospital admissions", US_national_yearly!$D:$AM, 10, FALSE), 1)</f>
        <v>2.1304889906483106E-5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9.2190046500177362E-5</v>
      </c>
      <c r="C13" s="7">
        <f>$B13 * IFERROR(VLOOKUP("industry|SO2|Non-fatal heart attacks", US_national_yearly!$D:$AM, 11, FALSE) / VLOOKUP("industry|SO2|Non-fatal heart attacks", US_national_yearly!$D:$AM, 10, FALSE), 1)</f>
        <v>9.4896400558690499E-5</v>
      </c>
      <c r="D13" s="7">
        <f>$B13 * IFERROR(VLOOKUP("industry|SO2|Non-fatal heart attacks", US_national_yearly!$D:$AM, 12, FALSE) / VLOOKUP("industry|SO2|Non-fatal heart attacks", US_national_yearly!$D:$AM, 10, FALSE), 1)</f>
        <v>9.7602754617203623E-5</v>
      </c>
      <c r="E13" s="7">
        <f>$B13 * IFERROR(VLOOKUP("industry|SO2|Non-fatal heart attacks", US_national_yearly!$D:$AM, 13, FALSE) / VLOOKUP("industry|SO2|Non-fatal heart attacks", US_national_yearly!$D:$AM, 10, FALSE), 1)</f>
        <v>1.0030910867571675E-4</v>
      </c>
      <c r="F13" s="7">
        <f>$B13 * IFERROR(VLOOKUP("industry|SO2|Non-fatal heart attacks", US_national_yearly!$D:$AM, 14, FALSE) / VLOOKUP("industry|SO2|Non-fatal heart attacks", US_national_yearly!$D:$AM, 10, FALSE), 1)</f>
        <v>1.030154627342299E-4</v>
      </c>
      <c r="G13" s="7">
        <f>$B13 * IFERROR(VLOOKUP("industry|SO2|Non-fatal heart attacks", US_national_yearly!$D:$AM, 15, FALSE) / VLOOKUP("industry|SO2|Non-fatal heart attacks", US_national_yearly!$D:$AM, 10, FALSE), 1)</f>
        <v>1.0556950281257652E-4</v>
      </c>
      <c r="H13" s="7">
        <f>$B13 * IFERROR(VLOOKUP("industry|SO2|Non-fatal heart attacks", US_national_yearly!$D:$AM, 16, FALSE) / VLOOKUP("industry|SO2|Non-fatal heart attacks", US_national_yearly!$D:$AM, 10, FALSE), 1)</f>
        <v>1.0812354289092317E-4</v>
      </c>
      <c r="I13" s="7">
        <f>$B13 * IFERROR(VLOOKUP("industry|SO2|Non-fatal heart attacks", US_national_yearly!$D:$AM, 17, FALSE) / VLOOKUP("industry|SO2|Non-fatal heart attacks", US_national_yearly!$D:$AM, 10, FALSE), 1)</f>
        <v>1.1018254128320413E-4</v>
      </c>
      <c r="J13" s="7">
        <f>$B13 * IFERROR(VLOOKUP("industry|SO2|Non-fatal heart attacks", US_national_yearly!$D:$AM, 18, FALSE) / VLOOKUP("industry|SO2|Non-fatal heart attacks", US_national_yearly!$D:$AM, 10, FALSE), 1)</f>
        <v>1.1224153967548514E-4</v>
      </c>
      <c r="K13" s="7">
        <f>$B13 * IFERROR(VLOOKUP("industry|SO2|Non-fatal heart attacks", US_national_yearly!$D:$AM, 19, FALSE) / VLOOKUP("industry|SO2|Non-fatal heart attacks", US_national_yearly!$D:$AM, 10, FALSE), 1)</f>
        <v>1.1430053806776614E-4</v>
      </c>
      <c r="L13" s="7">
        <f>$B13 * IFERROR(VLOOKUP("industry|SO2|Non-fatal heart attacks", US_national_yearly!$D:$AM, 20, FALSE) / VLOOKUP("industry|SO2|Non-fatal heart attacks", US_national_yearly!$D:$AM, 10, FALSE), 1)</f>
        <v>1.1635953646004712E-4</v>
      </c>
      <c r="M13" s="7">
        <f>$B13 * IFERROR(VLOOKUP("industry|SO2|Non-fatal heart attacks", US_national_yearly!$D:$AM, 21, FALSE) / VLOOKUP("industry|SO2|Non-fatal heart attacks", US_national_yearly!$D:$AM, 10, FALSE), 1)</f>
        <v>1.1841853485232811E-4</v>
      </c>
      <c r="N13" s="7">
        <f>$B13 * IFERROR(VLOOKUP("industry|SO2|Non-fatal heart attacks", US_national_yearly!$D:$AM, 22, FALSE) / VLOOKUP("industry|SO2|Non-fatal heart attacks", US_national_yearly!$D:$AM, 10, FALSE), 1)</f>
        <v>1.1975616990298648E-4</v>
      </c>
      <c r="O13" s="7">
        <f>$B13 * IFERROR(VLOOKUP("industry|SO2|Non-fatal heart attacks", US_national_yearly!$D:$AM, 23, FALSE) / VLOOKUP("industry|SO2|Non-fatal heart attacks", US_national_yearly!$D:$AM, 10, FALSE), 1)</f>
        <v>1.2109380495364488E-4</v>
      </c>
      <c r="P13" s="7">
        <f>$B13 * IFERROR(VLOOKUP("industry|SO2|Non-fatal heart attacks", US_national_yearly!$D:$AM, 24, FALSE) / VLOOKUP("industry|SO2|Non-fatal heart attacks", US_national_yearly!$D:$AM, 10, FALSE), 1)</f>
        <v>1.2243144000430322E-4</v>
      </c>
      <c r="Q13" s="7">
        <f>$B13 * IFERROR(VLOOKUP("industry|SO2|Non-fatal heart attacks", US_national_yearly!$D:$AM, 25, FALSE) / VLOOKUP("industry|SO2|Non-fatal heart attacks", US_national_yearly!$D:$AM, 10, FALSE), 1)</f>
        <v>1.237690750549616E-4</v>
      </c>
      <c r="R13" s="7">
        <f>$B13 * IFERROR(VLOOKUP("industry|SO2|Non-fatal heart attacks", US_national_yearly!$D:$AM, 26, FALSE) / VLOOKUP("industry|SO2|Non-fatal heart attacks", US_national_yearly!$D:$AM, 10, FALSE), 1)</f>
        <v>1.2510671010561997E-4</v>
      </c>
      <c r="S13" s="7">
        <f>$B13 * IFERROR(VLOOKUP("industry|SO2|Non-fatal heart attacks", US_national_yearly!$D:$AM, 27, FALSE) / VLOOKUP("industry|SO2|Non-fatal heart attacks", US_national_yearly!$D:$AM, 10, FALSE), 1)</f>
        <v>1.2580925570143035E-4</v>
      </c>
      <c r="T13" s="7">
        <f>$B13 * IFERROR(VLOOKUP("industry|SO2|Non-fatal heart attacks", US_national_yearly!$D:$AM, 28, FALSE) / VLOOKUP("industry|SO2|Non-fatal heart attacks", US_national_yearly!$D:$AM, 10, FALSE), 1)</f>
        <v>1.2651180129724074E-4</v>
      </c>
      <c r="U13" s="7">
        <f>$B13 * IFERROR(VLOOKUP("industry|SO2|Non-fatal heart attacks", US_national_yearly!$D:$AM, 29, FALSE) / VLOOKUP("industry|SO2|Non-fatal heart attacks", US_national_yearly!$D:$AM, 10, FALSE), 1)</f>
        <v>1.2721434689305113E-4</v>
      </c>
      <c r="V13" s="7">
        <f>$B13 * IFERROR(VLOOKUP("industry|SO2|Non-fatal heart attacks", US_national_yearly!$D:$AM, 30, FALSE) / VLOOKUP("industry|SO2|Non-fatal heart attacks", US_national_yearly!$D:$AM, 10, FALSE), 1)</f>
        <v>1.2791689248886151E-4</v>
      </c>
      <c r="W13" s="7">
        <f>$B13 * IFERROR(VLOOKUP("industry|SO2|Non-fatal heart attacks", US_national_yearly!$D:$AM, 31, FALSE) / VLOOKUP("industry|SO2|Non-fatal heart attacks", US_national_yearly!$D:$AM, 10, FALSE), 1)</f>
        <v>1.286194380846719E-4</v>
      </c>
      <c r="X13" s="7">
        <f>$B13 * IFERROR(VLOOKUP("industry|SO2|Non-fatal heart attacks", US_national_yearly!$D:$AM, 32, FALSE) / VLOOKUP("industry|SO2|Non-fatal heart attacks", US_national_yearly!$D:$AM, 10, FALSE), 1)</f>
        <v>1.2915300119126273E-4</v>
      </c>
      <c r="Y13" s="7">
        <f>$B13 * IFERROR(VLOOKUP("industry|SO2|Non-fatal heart attacks", US_national_yearly!$D:$AM, 33, FALSE) / VLOOKUP("industry|SO2|Non-fatal heart attacks", US_national_yearly!$D:$AM, 10, FALSE), 1)</f>
        <v>1.2968656429785359E-4</v>
      </c>
      <c r="Z13" s="7">
        <f>$B13 * IFERROR(VLOOKUP("industry|SO2|Non-fatal heart attacks", US_national_yearly!$D:$AM, 34, FALSE) / VLOOKUP("industry|SO2|Non-fatal heart attacks", US_national_yearly!$D:$AM, 10, FALSE), 1)</f>
        <v>1.3022012740444445E-4</v>
      </c>
      <c r="AA13" s="7">
        <f>$B13 * IFERROR(VLOOKUP("industry|SO2|Non-fatal heart attacks", US_national_yearly!$D:$AM, 35, FALSE) / VLOOKUP("industry|SO2|Non-fatal heart attacks", US_national_yearly!$D:$AM, 10, FALSE), 1)</f>
        <v>1.3075369051103531E-4</v>
      </c>
      <c r="AB13" s="7">
        <f>$B13 * IFERROR(VLOOKUP("industry|SO2|Non-fatal heart attacks", US_national_yearly!$D:$AM, 36, FALSE) / VLOOKUP("industry|SO2|Non-fatal heart attacks", US_national_yearly!$D:$AM, 10, FALSE), 1)</f>
        <v>1.3128725361762617E-4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9.2881185584625534E-2</v>
      </c>
      <c r="C14" s="7">
        <f>$B14 * IFERROR(VLOOKUP("industry|SO2|Minor restricted activity days", US_national_yearly!$D:$AM, 11, FALSE) / VLOOKUP("industry|SO2|Minor restricted activity days", US_national_yearly!$D:$AM, 10, FALSE), 1)</f>
        <v>9.3113517564805362E-2</v>
      </c>
      <c r="D14" s="7">
        <f>$B14 * IFERROR(VLOOKUP("industry|SO2|Minor restricted activity days", US_national_yearly!$D:$AM, 12, FALSE) / VLOOKUP("industry|SO2|Minor restricted activity days", US_national_yearly!$D:$AM, 10, FALSE), 1)</f>
        <v>9.3345849544985177E-2</v>
      </c>
      <c r="E14" s="7">
        <f>$B14 * IFERROR(VLOOKUP("industry|SO2|Minor restricted activity days", US_national_yearly!$D:$AM, 13, FALSE) / VLOOKUP("industry|SO2|Minor restricted activity days", US_national_yearly!$D:$AM, 10, FALSE), 1)</f>
        <v>9.3578181525165019E-2</v>
      </c>
      <c r="F14" s="7">
        <f>$B14 * IFERROR(VLOOKUP("industry|SO2|Minor restricted activity days", US_national_yearly!$D:$AM, 14, FALSE) / VLOOKUP("industry|SO2|Minor restricted activity days", US_national_yearly!$D:$AM, 10, FALSE), 1)</f>
        <v>9.3810513505344847E-2</v>
      </c>
      <c r="G14" s="7">
        <f>$B14 * IFERROR(VLOOKUP("industry|SO2|Minor restricted activity days", US_national_yearly!$D:$AM, 15, FALSE) / VLOOKUP("industry|SO2|Minor restricted activity days", US_national_yearly!$D:$AM, 10, FALSE), 1)</f>
        <v>9.4152295986473358E-2</v>
      </c>
      <c r="H14" s="7">
        <f>$B14 * IFERROR(VLOOKUP("industry|SO2|Minor restricted activity days", US_national_yearly!$D:$AM, 16, FALSE) / VLOOKUP("industry|SO2|Minor restricted activity days", US_national_yearly!$D:$AM, 10, FALSE), 1)</f>
        <v>9.4494078467601855E-2</v>
      </c>
      <c r="I14" s="7">
        <f>$B14 * IFERROR(VLOOKUP("industry|SO2|Minor restricted activity days", US_national_yearly!$D:$AM, 17, FALSE) / VLOOKUP("industry|SO2|Minor restricted activity days", US_national_yearly!$D:$AM, 10, FALSE), 1)</f>
        <v>9.5076920979331792E-2</v>
      </c>
      <c r="J14" s="7">
        <f>$B14 * IFERROR(VLOOKUP("industry|SO2|Minor restricted activity days", US_national_yearly!$D:$AM, 18, FALSE) / VLOOKUP("industry|SO2|Minor restricted activity days", US_national_yearly!$D:$AM, 10, FALSE), 1)</f>
        <v>9.5659763491061714E-2</v>
      </c>
      <c r="K14" s="7">
        <f>$B14 * IFERROR(VLOOKUP("industry|SO2|Minor restricted activity days", US_national_yearly!$D:$AM, 19, FALSE) / VLOOKUP("industry|SO2|Minor restricted activity days", US_national_yearly!$D:$AM, 10, FALSE), 1)</f>
        <v>9.6242606002791636E-2</v>
      </c>
      <c r="L14" s="7">
        <f>$B14 * IFERROR(VLOOKUP("industry|SO2|Minor restricted activity days", US_national_yearly!$D:$AM, 20, FALSE) / VLOOKUP("industry|SO2|Minor restricted activity days", US_national_yearly!$D:$AM, 10, FALSE), 1)</f>
        <v>9.6825448514521573E-2</v>
      </c>
      <c r="M14" s="7">
        <f>$B14 * IFERROR(VLOOKUP("industry|SO2|Minor restricted activity days", US_national_yearly!$D:$AM, 21, FALSE) / VLOOKUP("industry|SO2|Minor restricted activity days", US_national_yearly!$D:$AM, 10, FALSE), 1)</f>
        <v>9.7408291026251495E-2</v>
      </c>
      <c r="N14" s="7">
        <f>$B14 * IFERROR(VLOOKUP("industry|SO2|Minor restricted activity days", US_national_yearly!$D:$AM, 22, FALSE) / VLOOKUP("industry|SO2|Minor restricted activity days", US_national_yearly!$D:$AM, 10, FALSE), 1)</f>
        <v>9.8207438206680833E-2</v>
      </c>
      <c r="O14" s="7">
        <f>$B14 * IFERROR(VLOOKUP("industry|SO2|Minor restricted activity days", US_national_yearly!$D:$AM, 23, FALSE) / VLOOKUP("industry|SO2|Minor restricted activity days", US_national_yearly!$D:$AM, 10, FALSE), 1)</f>
        <v>9.9006585387110158E-2</v>
      </c>
      <c r="P14" s="7">
        <f>$B14 * IFERROR(VLOOKUP("industry|SO2|Minor restricted activity days", US_national_yearly!$D:$AM, 24, FALSE) / VLOOKUP("industry|SO2|Minor restricted activity days", US_national_yearly!$D:$AM, 10, FALSE), 1)</f>
        <v>9.9805732567539496E-2</v>
      </c>
      <c r="Q14" s="7">
        <f>$B14 * IFERROR(VLOOKUP("industry|SO2|Minor restricted activity days", US_national_yearly!$D:$AM, 25, FALSE) / VLOOKUP("industry|SO2|Minor restricted activity days", US_national_yearly!$D:$AM, 10, FALSE), 1)</f>
        <v>0.10060487974796885</v>
      </c>
      <c r="R14" s="7">
        <f>$B14 * IFERROR(VLOOKUP("industry|SO2|Minor restricted activity days", US_national_yearly!$D:$AM, 26, FALSE) / VLOOKUP("industry|SO2|Minor restricted activity days", US_national_yearly!$D:$AM, 10, FALSE), 1)</f>
        <v>0.10140402692839819</v>
      </c>
      <c r="S14" s="7">
        <f>$B14 * IFERROR(VLOOKUP("industry|SO2|Minor restricted activity days", US_national_yearly!$D:$AM, 27, FALSE) / VLOOKUP("industry|SO2|Minor restricted activity days", US_national_yearly!$D:$AM, 10, FALSE), 1)</f>
        <v>0.10221962116673816</v>
      </c>
      <c r="T14" s="7">
        <f>$B14 * IFERROR(VLOOKUP("industry|SO2|Minor restricted activity days", US_national_yearly!$D:$AM, 28, FALSE) / VLOOKUP("industry|SO2|Minor restricted activity days", US_national_yearly!$D:$AM, 10, FALSE), 1)</f>
        <v>0.10303521540507816</v>
      </c>
      <c r="U14" s="7">
        <f>$B14 * IFERROR(VLOOKUP("industry|SO2|Minor restricted activity days", US_national_yearly!$D:$AM, 29, FALSE) / VLOOKUP("industry|SO2|Minor restricted activity days", US_national_yearly!$D:$AM, 10, FALSE), 1)</f>
        <v>0.10385080964341814</v>
      </c>
      <c r="V14" s="7">
        <f>$B14 * IFERROR(VLOOKUP("industry|SO2|Minor restricted activity days", US_national_yearly!$D:$AM, 30, FALSE) / VLOOKUP("industry|SO2|Minor restricted activity days", US_national_yearly!$D:$AM, 10, FALSE), 1)</f>
        <v>0.10466640388175814</v>
      </c>
      <c r="W14" s="7">
        <f>$B14 * IFERROR(VLOOKUP("industry|SO2|Minor restricted activity days", US_national_yearly!$D:$AM, 31, FALSE) / VLOOKUP("industry|SO2|Minor restricted activity days", US_national_yearly!$D:$AM, 10, FALSE), 1)</f>
        <v>0.10548199812009813</v>
      </c>
      <c r="X14" s="7">
        <f>$B14 * IFERROR(VLOOKUP("industry|SO2|Minor restricted activity days", US_national_yearly!$D:$AM, 32, FALSE) / VLOOKUP("industry|SO2|Minor restricted activity days", US_national_yearly!$D:$AM, 10, FALSE), 1)</f>
        <v>0.10619914369673346</v>
      </c>
      <c r="Y14" s="7">
        <f>$B14 * IFERROR(VLOOKUP("industry|SO2|Minor restricted activity days", US_national_yearly!$D:$AM, 33, FALSE) / VLOOKUP("industry|SO2|Minor restricted activity days", US_national_yearly!$D:$AM, 10, FALSE), 1)</f>
        <v>0.10691628927336878</v>
      </c>
      <c r="Z14" s="7">
        <f>$B14 * IFERROR(VLOOKUP("industry|SO2|Minor restricted activity days", US_national_yearly!$D:$AM, 34, FALSE) / VLOOKUP("industry|SO2|Minor restricted activity days", US_national_yearly!$D:$AM, 10, FALSE), 1)</f>
        <v>0.10763343485000409</v>
      </c>
      <c r="AA14" s="7">
        <f>$B14 * IFERROR(VLOOKUP("industry|SO2|Minor restricted activity days", US_national_yearly!$D:$AM, 35, FALSE) / VLOOKUP("industry|SO2|Minor restricted activity days", US_national_yearly!$D:$AM, 10, FALSE), 1)</f>
        <v>0.10835058042663941</v>
      </c>
      <c r="AB14" s="7">
        <f>$B14 * IFERROR(VLOOKUP("industry|SO2|Minor restricted activity days", US_national_yearly!$D:$AM, 36, FALSE) / VLOOKUP("industry|SO2|Minor restricted activity days", US_national_yearly!$D:$AM, 10, FALSE), 1)</f>
        <v>0.10906772600327475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1.57715364560762E-2</v>
      </c>
      <c r="C15" s="7">
        <f>$B15 * IFERROR(VLOOKUP("industry|SO2|Work loss days", US_national_yearly!$D:$AM, 11, FALSE) / VLOOKUP("industry|SO2|Work loss days", US_national_yearly!$D:$AM, 10, FALSE), 1)</f>
        <v>1.5822255935500108E-2</v>
      </c>
      <c r="D15" s="7">
        <f>$B15 * IFERROR(VLOOKUP("industry|SO2|Work loss days", US_national_yearly!$D:$AM, 12, FALSE) / VLOOKUP("industry|SO2|Work loss days", US_national_yearly!$D:$AM, 10, FALSE), 1)</f>
        <v>1.587297541492402E-2</v>
      </c>
      <c r="E15" s="7">
        <f>$B15 * IFERROR(VLOOKUP("industry|SO2|Work loss days", US_national_yearly!$D:$AM, 13, FALSE) / VLOOKUP("industry|SO2|Work loss days", US_national_yearly!$D:$AM, 10, FALSE), 1)</f>
        <v>1.5923694894347928E-2</v>
      </c>
      <c r="F15" s="7">
        <f>$B15 * IFERROR(VLOOKUP("industry|SO2|Work loss days", US_national_yearly!$D:$AM, 14, FALSE) / VLOOKUP("industry|SO2|Work loss days", US_national_yearly!$D:$AM, 10, FALSE), 1)</f>
        <v>1.5974414373771843E-2</v>
      </c>
      <c r="G15" s="7">
        <f>$B15 * IFERROR(VLOOKUP("industry|SO2|Work loss days", US_national_yearly!$D:$AM, 15, FALSE) / VLOOKUP("industry|SO2|Work loss days", US_national_yearly!$D:$AM, 10, FALSE), 1)</f>
        <v>1.6040617000761318E-2</v>
      </c>
      <c r="H15" s="7">
        <f>$B15 * IFERROR(VLOOKUP("industry|SO2|Work loss days", US_national_yearly!$D:$AM, 16, FALSE) / VLOOKUP("industry|SO2|Work loss days", US_national_yearly!$D:$AM, 10, FALSE), 1)</f>
        <v>1.6106819627750797E-2</v>
      </c>
      <c r="I15" s="7">
        <f>$B15 * IFERROR(VLOOKUP("industry|SO2|Work loss days", US_national_yearly!$D:$AM, 17, FALSE) / VLOOKUP("industry|SO2|Work loss days", US_national_yearly!$D:$AM, 10, FALSE), 1)</f>
        <v>1.6203589213444627E-2</v>
      </c>
      <c r="J15" s="7">
        <f>$B15 * IFERROR(VLOOKUP("industry|SO2|Work loss days", US_national_yearly!$D:$AM, 18, FALSE) / VLOOKUP("industry|SO2|Work loss days", US_national_yearly!$D:$AM, 10, FALSE), 1)</f>
        <v>1.6300358799138454E-2</v>
      </c>
      <c r="K15" s="7">
        <f>$B15 * IFERROR(VLOOKUP("industry|SO2|Work loss days", US_national_yearly!$D:$AM, 19, FALSE) / VLOOKUP("industry|SO2|Work loss days", US_national_yearly!$D:$AM, 10, FALSE), 1)</f>
        <v>1.6397128384832281E-2</v>
      </c>
      <c r="L15" s="7">
        <f>$B15 * IFERROR(VLOOKUP("industry|SO2|Work loss days", US_national_yearly!$D:$AM, 20, FALSE) / VLOOKUP("industry|SO2|Work loss days", US_national_yearly!$D:$AM, 10, FALSE), 1)</f>
        <v>1.6493897970526111E-2</v>
      </c>
      <c r="M15" s="7">
        <f>$B15 * IFERROR(VLOOKUP("industry|SO2|Work loss days", US_national_yearly!$D:$AM, 21, FALSE) / VLOOKUP("industry|SO2|Work loss days", US_national_yearly!$D:$AM, 10, FALSE), 1)</f>
        <v>1.6590667556219938E-2</v>
      </c>
      <c r="N15" s="7">
        <f>$B15 * IFERROR(VLOOKUP("industry|SO2|Work loss days", US_national_yearly!$D:$AM, 22, FALSE) / VLOOKUP("industry|SO2|Work loss days", US_national_yearly!$D:$AM, 10, FALSE), 1)</f>
        <v>1.6712292679083258E-2</v>
      </c>
      <c r="O15" s="7">
        <f>$B15 * IFERROR(VLOOKUP("industry|SO2|Work loss days", US_national_yearly!$D:$AM, 23, FALSE) / VLOOKUP("industry|SO2|Work loss days", US_national_yearly!$D:$AM, 10, FALSE), 1)</f>
        <v>1.6833917801946575E-2</v>
      </c>
      <c r="P15" s="7">
        <f>$B15 * IFERROR(VLOOKUP("industry|SO2|Work loss days", US_national_yearly!$D:$AM, 24, FALSE) / VLOOKUP("industry|SO2|Work loss days", US_national_yearly!$D:$AM, 10, FALSE), 1)</f>
        <v>1.6955542924809892E-2</v>
      </c>
      <c r="Q15" s="7">
        <f>$B15 * IFERROR(VLOOKUP("industry|SO2|Work loss days", US_national_yearly!$D:$AM, 25, FALSE) / VLOOKUP("industry|SO2|Work loss days", US_national_yearly!$D:$AM, 10, FALSE), 1)</f>
        <v>1.7077168047673209E-2</v>
      </c>
      <c r="R15" s="7">
        <f>$B15 * IFERROR(VLOOKUP("industry|SO2|Work loss days", US_national_yearly!$D:$AM, 26, FALSE) / VLOOKUP("industry|SO2|Work loss days", US_national_yearly!$D:$AM, 10, FALSE), 1)</f>
        <v>1.7198793170536526E-2</v>
      </c>
      <c r="S15" s="7">
        <f>$B15 * IFERROR(VLOOKUP("industry|SO2|Work loss days", US_national_yearly!$D:$AM, 27, FALSE) / VLOOKUP("industry|SO2|Work loss days", US_national_yearly!$D:$AM, 10, FALSE), 1)</f>
        <v>1.7334886670530663E-2</v>
      </c>
      <c r="T15" s="7">
        <f>$B15 * IFERROR(VLOOKUP("industry|SO2|Work loss days", US_national_yearly!$D:$AM, 28, FALSE) / VLOOKUP("industry|SO2|Work loss days", US_national_yearly!$D:$AM, 10, FALSE), 1)</f>
        <v>1.7470980170524803E-2</v>
      </c>
      <c r="U15" s="7">
        <f>$B15 * IFERROR(VLOOKUP("industry|SO2|Work loss days", US_national_yearly!$D:$AM, 29, FALSE) / VLOOKUP("industry|SO2|Work loss days", US_national_yearly!$D:$AM, 10, FALSE), 1)</f>
        <v>1.760707367051895E-2</v>
      </c>
      <c r="V15" s="7">
        <f>$B15 * IFERROR(VLOOKUP("industry|SO2|Work loss days", US_national_yearly!$D:$AM, 30, FALSE) / VLOOKUP("industry|SO2|Work loss days", US_national_yearly!$D:$AM, 10, FALSE), 1)</f>
        <v>1.7743167170513087E-2</v>
      </c>
      <c r="W15" s="7">
        <f>$B15 * IFERROR(VLOOKUP("industry|SO2|Work loss days", US_national_yearly!$D:$AM, 31, FALSE) / VLOOKUP("industry|SO2|Work loss days", US_national_yearly!$D:$AM, 10, FALSE), 1)</f>
        <v>1.7879260670507227E-2</v>
      </c>
      <c r="X15" s="7">
        <f>$B15 * IFERROR(VLOOKUP("industry|SO2|Work loss days", US_national_yearly!$D:$AM, 32, FALSE) / VLOOKUP("industry|SO2|Work loss days", US_national_yearly!$D:$AM, 10, FALSE), 1)</f>
        <v>1.8001496163204591E-2</v>
      </c>
      <c r="Y15" s="7">
        <f>$B15 * IFERROR(VLOOKUP("industry|SO2|Work loss days", US_national_yearly!$D:$AM, 33, FALSE) / VLOOKUP("industry|SO2|Work loss days", US_national_yearly!$D:$AM, 10, FALSE), 1)</f>
        <v>1.8123731655901955E-2</v>
      </c>
      <c r="Z15" s="7">
        <f>$B15 * IFERROR(VLOOKUP("industry|SO2|Work loss days", US_national_yearly!$D:$AM, 34, FALSE) / VLOOKUP("industry|SO2|Work loss days", US_national_yearly!$D:$AM, 10, FALSE), 1)</f>
        <v>1.8245967148599315E-2</v>
      </c>
      <c r="AA15" s="7">
        <f>$B15 * IFERROR(VLOOKUP("industry|SO2|Work loss days", US_national_yearly!$D:$AM, 35, FALSE) / VLOOKUP("industry|SO2|Work loss days", US_national_yearly!$D:$AM, 10, FALSE), 1)</f>
        <v>1.8368202641296679E-2</v>
      </c>
      <c r="AB15" s="7">
        <f>$B15 * IFERROR(VLOOKUP("industry|SO2|Work loss days", US_national_yearly!$D:$AM, 36, FALSE) / VLOOKUP("industry|SO2|Work loss days", US_national_yearly!$D:$AM, 10, FALSE), 1)</f>
        <v>1.8490438133994043E-2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2.0367045750228381E-5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2.0982888115019088E-5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2.1598730479809798E-5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2.2214572844600508E-5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2.2830415209391219E-5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2.3420614323594981E-5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2.4010813437798746E-5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2.4517224944509823E-5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2.5023636451220903E-5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2.5530047957931986E-5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2.6036459464643069E-5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2.6542870971354146E-5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2.6883105672504309E-5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2.7223340373654477E-5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2.7563575074804637E-5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2.7903809775954804E-5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2.8244044477104968E-5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2.8423947396715185E-5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2.8603850316325408E-5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2.8783753235935622E-5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2.8963656155545849E-5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2.9143559075156062E-5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2.9265221147789888E-5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2.9386883220423707E-5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2.9508545293057533E-5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2.9630207365691359E-5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2.9751869438325178E-5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2.1905655147237538E-5</v>
      </c>
      <c r="C2" s="7">
        <f>$B2 * IFERROR(VLOOKUP("LULUCF|PM25|Premature mortality", US_national_yearly!$D:$AM, 11, FALSE) / VLOOKUP("LULUCF|PM25|Premature mortality", US_national_yearly!$D:$AM, 10, FALSE), 1)</f>
        <v>2.2177237265123775E-5</v>
      </c>
      <c r="D2" s="7">
        <f>$B2 * IFERROR(VLOOKUP("LULUCF|PM25|Premature mortality", US_national_yearly!$D:$AM, 12, FALSE) / VLOOKUP("LULUCF|PM25|Premature mortality", US_national_yearly!$D:$AM, 10, FALSE), 1)</f>
        <v>2.2448819383010006E-5</v>
      </c>
      <c r="E2" s="7">
        <f>$B2 * IFERROR(VLOOKUP("LULUCF|PM25|Premature mortality", US_national_yearly!$D:$AM, 13, FALSE) / VLOOKUP("LULUCF|PM25|Premature mortality", US_national_yearly!$D:$AM, 10, FALSE), 1)</f>
        <v>2.2720401500896236E-5</v>
      </c>
      <c r="F2" s="7">
        <f>$B2 * IFERROR(VLOOKUP("LULUCF|PM25|Premature mortality", US_national_yearly!$D:$AM, 14, FALSE) / VLOOKUP("LULUCF|PM25|Premature mortality", US_national_yearly!$D:$AM, 10, FALSE), 1)</f>
        <v>2.2991983618782467E-5</v>
      </c>
      <c r="G2" s="7">
        <f>$B2 * IFERROR(VLOOKUP("LULUCF|PM25|Premature mortality", US_national_yearly!$D:$AM, 15, FALSE) / VLOOKUP("LULUCF|PM25|Premature mortality", US_national_yearly!$D:$AM, 10, FALSE), 1)</f>
        <v>2.3520887745142055E-5</v>
      </c>
      <c r="H2" s="7">
        <f>$B2 * IFERROR(VLOOKUP("LULUCF|PM25|Premature mortality", US_national_yearly!$D:$AM, 16, FALSE) / VLOOKUP("LULUCF|PM25|Premature mortality", US_national_yearly!$D:$AM, 10, FALSE), 1)</f>
        <v>2.4049791871501645E-5</v>
      </c>
      <c r="I2" s="7">
        <f>$B2 * IFERROR(VLOOKUP("LULUCF|PM25|Premature mortality", US_national_yearly!$D:$AM, 17, FALSE) / VLOOKUP("LULUCF|PM25|Premature mortality", US_national_yearly!$D:$AM, 10, FALSE), 1)</f>
        <v>2.4397198365985452E-5</v>
      </c>
      <c r="J2" s="7">
        <f>$B2 * IFERROR(VLOOKUP("LULUCF|PM25|Premature mortality", US_national_yearly!$D:$AM, 18, FALSE) / VLOOKUP("LULUCF|PM25|Premature mortality", US_national_yearly!$D:$AM, 10, FALSE), 1)</f>
        <v>2.4744604860469269E-5</v>
      </c>
      <c r="K2" s="7">
        <f>$B2 * IFERROR(VLOOKUP("LULUCF|PM25|Premature mortality", US_national_yearly!$D:$AM, 19, FALSE) / VLOOKUP("LULUCF|PM25|Premature mortality", US_national_yearly!$D:$AM, 10, FALSE), 1)</f>
        <v>2.5092011354953083E-5</v>
      </c>
      <c r="L2" s="7">
        <f>$B2 * IFERROR(VLOOKUP("LULUCF|PM25|Premature mortality", US_national_yearly!$D:$AM, 20, FALSE) / VLOOKUP("LULUCF|PM25|Premature mortality", US_national_yearly!$D:$AM, 10, FALSE), 1)</f>
        <v>2.54394178494369E-5</v>
      </c>
      <c r="M2" s="7">
        <f>$B2 * IFERROR(VLOOKUP("LULUCF|PM25|Premature mortality", US_national_yearly!$D:$AM, 21, FALSE) / VLOOKUP("LULUCF|PM25|Premature mortality", US_national_yearly!$D:$AM, 10, FALSE), 1)</f>
        <v>2.578682434392071E-5</v>
      </c>
      <c r="N2" s="7">
        <f>$B2 * IFERROR(VLOOKUP("LULUCF|PM25|Premature mortality", US_national_yearly!$D:$AM, 22, FALSE) / VLOOKUP("LULUCF|PM25|Premature mortality", US_national_yearly!$D:$AM, 10, FALSE), 1)</f>
        <v>2.6056563376534767E-5</v>
      </c>
      <c r="O2" s="7">
        <f>$B2 * IFERROR(VLOOKUP("LULUCF|PM25|Premature mortality", US_national_yearly!$D:$AM, 23, FALSE) / VLOOKUP("LULUCF|PM25|Premature mortality", US_national_yearly!$D:$AM, 10, FALSE), 1)</f>
        <v>2.6326302409148821E-5</v>
      </c>
      <c r="P2" s="7">
        <f>$B2 * IFERROR(VLOOKUP("LULUCF|PM25|Premature mortality", US_national_yearly!$D:$AM, 24, FALSE) / VLOOKUP("LULUCF|PM25|Premature mortality", US_national_yearly!$D:$AM, 10, FALSE), 1)</f>
        <v>2.6596041441762874E-5</v>
      </c>
      <c r="Q2" s="7">
        <f>$B2 * IFERROR(VLOOKUP("LULUCF|PM25|Premature mortality", US_national_yearly!$D:$AM, 25, FALSE) / VLOOKUP("LULUCF|PM25|Premature mortality", US_national_yearly!$D:$AM, 10, FALSE), 1)</f>
        <v>2.6865780474376931E-5</v>
      </c>
      <c r="R2" s="7">
        <f>$B2 * IFERROR(VLOOKUP("LULUCF|PM25|Premature mortality", US_national_yearly!$D:$AM, 26, FALSE) / VLOOKUP("LULUCF|PM25|Premature mortality", US_national_yearly!$D:$AM, 10, FALSE), 1)</f>
        <v>2.7135519506990991E-5</v>
      </c>
      <c r="S2" s="7">
        <f>$B2 * IFERROR(VLOOKUP("LULUCF|PM25|Premature mortality", US_national_yearly!$D:$AM, 27, FALSE) / VLOOKUP("LULUCF|PM25|Premature mortality", US_national_yearly!$D:$AM, 10, FALSE), 1)</f>
        <v>2.7278419232256138E-5</v>
      </c>
      <c r="T2" s="7">
        <f>$B2 * IFERROR(VLOOKUP("LULUCF|PM25|Premature mortality", US_national_yearly!$D:$AM, 28, FALSE) / VLOOKUP("LULUCF|PM25|Premature mortality", US_national_yearly!$D:$AM, 10, FALSE), 1)</f>
        <v>2.7421318957521284E-5</v>
      </c>
      <c r="U2" s="7">
        <f>$B2 * IFERROR(VLOOKUP("LULUCF|PM25|Premature mortality", US_national_yearly!$D:$AM, 29, FALSE) / VLOOKUP("LULUCF|PM25|Premature mortality", US_national_yearly!$D:$AM, 10, FALSE), 1)</f>
        <v>2.7564218682786427E-5</v>
      </c>
      <c r="V2" s="7">
        <f>$B2 * IFERROR(VLOOKUP("LULUCF|PM25|Premature mortality", US_national_yearly!$D:$AM, 30, FALSE) / VLOOKUP("LULUCF|PM25|Premature mortality", US_national_yearly!$D:$AM, 10, FALSE), 1)</f>
        <v>2.770711840805157E-5</v>
      </c>
      <c r="W2" s="7">
        <f>$B2 * IFERROR(VLOOKUP("LULUCF|PM25|Premature mortality", US_national_yearly!$D:$AM, 31, FALSE) / VLOOKUP("LULUCF|PM25|Premature mortality", US_national_yearly!$D:$AM, 10, FALSE), 1)</f>
        <v>2.7850018133316716E-5</v>
      </c>
      <c r="X2" s="7">
        <f>$B2 * IFERROR(VLOOKUP("LULUCF|PM25|Premature mortality", US_national_yearly!$D:$AM, 32, FALSE) / VLOOKUP("LULUCF|PM25|Premature mortality", US_national_yearly!$D:$AM, 10, FALSE), 1)</f>
        <v>2.7875005255685278E-5</v>
      </c>
      <c r="Y2" s="7">
        <f>$B2 * IFERROR(VLOOKUP("LULUCF|PM25|Premature mortality", US_national_yearly!$D:$AM, 33, FALSE) / VLOOKUP("LULUCF|PM25|Premature mortality", US_national_yearly!$D:$AM, 10, FALSE), 1)</f>
        <v>2.7899992378053842E-5</v>
      </c>
      <c r="Z2" s="7">
        <f>$B2 * IFERROR(VLOOKUP("LULUCF|PM25|Premature mortality", US_national_yearly!$D:$AM, 34, FALSE) / VLOOKUP("LULUCF|PM25|Premature mortality", US_national_yearly!$D:$AM, 10, FALSE), 1)</f>
        <v>2.7924979500422407E-5</v>
      </c>
      <c r="AA2" s="7">
        <f>$B2 * IFERROR(VLOOKUP("LULUCF|PM25|Premature mortality", US_national_yearly!$D:$AM, 35, FALSE) / VLOOKUP("LULUCF|PM25|Premature mortality", US_national_yearly!$D:$AM, 10, FALSE), 1)</f>
        <v>2.7949966622790972E-5</v>
      </c>
      <c r="AB2" s="7">
        <f>$B2 * IFERROR(VLOOKUP("LULUCF|PM25|Premature mortality", US_national_yearly!$D:$AM, 36, FALSE) / VLOOKUP("LULUCF|PM25|Premature mortality", US_national_yearly!$D:$AM, 10, FALSE), 1)</f>
        <v>2.7974953745159533E-5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5.6708508720691813E-8</v>
      </c>
      <c r="C3" s="7">
        <f>$B3 * IFERROR(VLOOKUP("LULUCF|PM25|Infant mortality", US_national_yearly!$D:$AM, 11, FALSE) / VLOOKUP("LULUCF|PM25|Infant mortality", US_national_yearly!$D:$AM, 10, FALSE), 1)</f>
        <v>5.621406227153043E-8</v>
      </c>
      <c r="D3" s="7">
        <f>$B3 * IFERROR(VLOOKUP("LULUCF|PM25|Infant mortality", US_national_yearly!$D:$AM, 12, FALSE) / VLOOKUP("LULUCF|PM25|Infant mortality", US_national_yearly!$D:$AM, 10, FALSE), 1)</f>
        <v>5.571961582236904E-8</v>
      </c>
      <c r="E3" s="7">
        <f>$B3 * IFERROR(VLOOKUP("LULUCF|PM25|Infant mortality", US_national_yearly!$D:$AM, 13, FALSE) / VLOOKUP("LULUCF|PM25|Infant mortality", US_national_yearly!$D:$AM, 10, FALSE), 1)</f>
        <v>5.5225169373207657E-8</v>
      </c>
      <c r="F3" s="7">
        <f>$B3 * IFERROR(VLOOKUP("LULUCF|PM25|Infant mortality", US_national_yearly!$D:$AM, 14, FALSE) / VLOOKUP("LULUCF|PM25|Infant mortality", US_national_yearly!$D:$AM, 10, FALSE), 1)</f>
        <v>5.4730722924046268E-8</v>
      </c>
      <c r="G3" s="7">
        <f>$B3 * IFERROR(VLOOKUP("LULUCF|PM25|Infant mortality", US_national_yearly!$D:$AM, 15, FALSE) / VLOOKUP("LULUCF|PM25|Infant mortality", US_national_yearly!$D:$AM, 10, FALSE), 1)</f>
        <v>3.6398858397917862E-8</v>
      </c>
      <c r="H3" s="7">
        <f>$B3 * IFERROR(VLOOKUP("LULUCF|PM25|Infant mortality", US_national_yearly!$D:$AM, 16, FALSE) / VLOOKUP("LULUCF|PM25|Infant mortality", US_national_yearly!$D:$AM, 10, FALSE), 1)</f>
        <v>1.8066993871789447E-8</v>
      </c>
      <c r="I3" s="7">
        <f>$B3 * IFERROR(VLOOKUP("LULUCF|PM25|Infant mortality", US_national_yearly!$D:$AM, 17, FALSE) / VLOOKUP("LULUCF|PM25|Infant mortality", US_national_yearly!$D:$AM, 10, FALSE), 1)</f>
        <v>1.7948896222824918E-8</v>
      </c>
      <c r="J3" s="7">
        <f>$B3 * IFERROR(VLOOKUP("LULUCF|PM25|Infant mortality", US_national_yearly!$D:$AM, 18, FALSE) / VLOOKUP("LULUCF|PM25|Infant mortality", US_national_yearly!$D:$AM, 10, FALSE), 1)</f>
        <v>1.7830798573860386E-8</v>
      </c>
      <c r="K3" s="7">
        <f>$B3 * IFERROR(VLOOKUP("LULUCF|PM25|Infant mortality", US_national_yearly!$D:$AM, 19, FALSE) / VLOOKUP("LULUCF|PM25|Infant mortality", US_national_yearly!$D:$AM, 10, FALSE), 1)</f>
        <v>1.7712700924895854E-8</v>
      </c>
      <c r="L3" s="7">
        <f>$B3 * IFERROR(VLOOKUP("LULUCF|PM25|Infant mortality", US_national_yearly!$D:$AM, 20, FALSE) / VLOOKUP("LULUCF|PM25|Infant mortality", US_national_yearly!$D:$AM, 10, FALSE), 1)</f>
        <v>1.7594603275931325E-8</v>
      </c>
      <c r="M3" s="7">
        <f>$B3 * IFERROR(VLOOKUP("LULUCF|PM25|Infant mortality", US_national_yearly!$D:$AM, 21, FALSE) / VLOOKUP("LULUCF|PM25|Infant mortality", US_national_yearly!$D:$AM, 10, FALSE), 1)</f>
        <v>1.7476505626966796E-8</v>
      </c>
      <c r="N3" s="7">
        <f>$B3 * IFERROR(VLOOKUP("LULUCF|PM25|Infant mortality", US_national_yearly!$D:$AM, 22, FALSE) / VLOOKUP("LULUCF|PM25|Infant mortality", US_national_yearly!$D:$AM, 10, FALSE), 1)</f>
        <v>1.7402327228730399E-8</v>
      </c>
      <c r="O3" s="7">
        <f>$B3 * IFERROR(VLOOKUP("LULUCF|PM25|Infant mortality", US_national_yearly!$D:$AM, 23, FALSE) / VLOOKUP("LULUCF|PM25|Infant mortality", US_national_yearly!$D:$AM, 10, FALSE), 1)</f>
        <v>1.7328148830494003E-8</v>
      </c>
      <c r="P3" s="7">
        <f>$B3 * IFERROR(VLOOKUP("LULUCF|PM25|Infant mortality", US_national_yearly!$D:$AM, 24, FALSE) / VLOOKUP("LULUCF|PM25|Infant mortality", US_national_yearly!$D:$AM, 10, FALSE), 1)</f>
        <v>1.7253970432257603E-8</v>
      </c>
      <c r="Q3" s="7">
        <f>$B3 * IFERROR(VLOOKUP("LULUCF|PM25|Infant mortality", US_national_yearly!$D:$AM, 25, FALSE) / VLOOKUP("LULUCF|PM25|Infant mortality", US_national_yearly!$D:$AM, 10, FALSE), 1)</f>
        <v>1.7179792034021206E-8</v>
      </c>
      <c r="R3" s="7">
        <f>$B3 * IFERROR(VLOOKUP("LULUCF|PM25|Infant mortality", US_national_yearly!$D:$AM, 26, FALSE) / VLOOKUP("LULUCF|PM25|Infant mortality", US_national_yearly!$D:$AM, 10, FALSE), 1)</f>
        <v>1.710561363578481E-8</v>
      </c>
      <c r="S3" s="7">
        <f>$B3 * IFERROR(VLOOKUP("LULUCF|PM25|Infant mortality", US_national_yearly!$D:$AM, 27, FALSE) / VLOOKUP("LULUCF|PM25|Infant mortality", US_national_yearly!$D:$AM, 10, FALSE), 1)</f>
        <v>1.7013148745687201E-8</v>
      </c>
      <c r="T3" s="7">
        <f>$B3 * IFERROR(VLOOKUP("LULUCF|PM25|Infant mortality", US_national_yearly!$D:$AM, 28, FALSE) / VLOOKUP("LULUCF|PM25|Infant mortality", US_national_yearly!$D:$AM, 10, FALSE), 1)</f>
        <v>1.6920683855589593E-8</v>
      </c>
      <c r="U3" s="7">
        <f>$B3 * IFERROR(VLOOKUP("LULUCF|PM25|Infant mortality", US_national_yearly!$D:$AM, 29, FALSE) / VLOOKUP("LULUCF|PM25|Infant mortality", US_national_yearly!$D:$AM, 10, FALSE), 1)</f>
        <v>1.6828218965491987E-8</v>
      </c>
      <c r="V3" s="7">
        <f>$B3 * IFERROR(VLOOKUP("LULUCF|PM25|Infant mortality", US_national_yearly!$D:$AM, 30, FALSE) / VLOOKUP("LULUCF|PM25|Infant mortality", US_national_yearly!$D:$AM, 10, FALSE), 1)</f>
        <v>1.6735754075394382E-8</v>
      </c>
      <c r="W3" s="7">
        <f>$B3 * IFERROR(VLOOKUP("LULUCF|PM25|Infant mortality", US_national_yearly!$D:$AM, 31, FALSE) / VLOOKUP("LULUCF|PM25|Infant mortality", US_national_yearly!$D:$AM, 10, FALSE), 1)</f>
        <v>1.6643289185296774E-8</v>
      </c>
      <c r="X3" s="7">
        <f>$B3 * IFERROR(VLOOKUP("LULUCF|PM25|Infant mortality", US_national_yearly!$D:$AM, 32, FALSE) / VLOOKUP("LULUCF|PM25|Infant mortality", US_national_yearly!$D:$AM, 10, FALSE), 1)</f>
        <v>1.6543600412154116E-8</v>
      </c>
      <c r="Y3" s="7">
        <f>$B3 * IFERROR(VLOOKUP("LULUCF|PM25|Infant mortality", US_national_yearly!$D:$AM, 33, FALSE) / VLOOKUP("LULUCF|PM25|Infant mortality", US_national_yearly!$D:$AM, 10, FALSE), 1)</f>
        <v>1.6443911639011455E-8</v>
      </c>
      <c r="Z3" s="7">
        <f>$B3 * IFERROR(VLOOKUP("LULUCF|PM25|Infant mortality", US_national_yearly!$D:$AM, 34, FALSE) / VLOOKUP("LULUCF|PM25|Infant mortality", US_national_yearly!$D:$AM, 10, FALSE), 1)</f>
        <v>1.6344222865868798E-8</v>
      </c>
      <c r="AA3" s="7">
        <f>$B3 * IFERROR(VLOOKUP("LULUCF|PM25|Infant mortality", US_national_yearly!$D:$AM, 35, FALSE) / VLOOKUP("LULUCF|PM25|Infant mortality", US_national_yearly!$D:$AM, 10, FALSE), 1)</f>
        <v>1.6244534092726141E-8</v>
      </c>
      <c r="AB3" s="7">
        <f>$B3 * IFERROR(VLOOKUP("LULUCF|PM25|Infant mortality", US_national_yearly!$D:$AM, 36, FALSE) / VLOOKUP("LULUCF|PM25|Infant mortality", US_national_yearly!$D:$AM, 10, FALSE), 1)</f>
        <v>1.6144845319583483E-8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6.6932235145250455E-5</v>
      </c>
      <c r="C6" s="7">
        <f>$B6 * IFERROR(VLOOKUP("LULUCF|PM25|Asthma symptoms cough", US_national_yearly!$D:$AM, 11, FALSE) / VLOOKUP("LULUCF|PM25|Asthma symptoms cough", US_national_yearly!$D:$AM, 10, FALSE), 1)</f>
        <v>6.6932235145250455E-5</v>
      </c>
      <c r="D6" s="7">
        <f>$B6 * IFERROR(VLOOKUP("LULUCF|PM25|Asthma symptoms cough", US_national_yearly!$D:$AM, 12, FALSE) / VLOOKUP("LULUCF|PM25|Asthma symptoms cough", US_national_yearly!$D:$AM, 10, FALSE), 1)</f>
        <v>6.6932235145250455E-5</v>
      </c>
      <c r="E6" s="7">
        <f>$B6 * IFERROR(VLOOKUP("LULUCF|PM25|Asthma symptoms cough", US_national_yearly!$D:$AM, 13, FALSE) / VLOOKUP("LULUCF|PM25|Asthma symptoms cough", US_national_yearly!$D:$AM, 10, FALSE), 1)</f>
        <v>6.6932235145250455E-5</v>
      </c>
      <c r="F6" s="7">
        <f>$B6 * IFERROR(VLOOKUP("LULUCF|PM25|Asthma symptoms cough", US_national_yearly!$D:$AM, 14, FALSE) / VLOOKUP("LULUCF|PM25|Asthma symptoms cough", US_national_yearly!$D:$AM, 10, FALSE), 1)</f>
        <v>6.6932235145250455E-5</v>
      </c>
      <c r="G6" s="7">
        <f>$B6 * IFERROR(VLOOKUP("LULUCF|PM25|Asthma symptoms cough", US_national_yearly!$D:$AM, 15, FALSE) / VLOOKUP("LULUCF|PM25|Asthma symptoms cough", US_national_yearly!$D:$AM, 10, FALSE), 1)</f>
        <v>6.6932235145250455E-5</v>
      </c>
      <c r="H6" s="7">
        <f>$B6 * IFERROR(VLOOKUP("LULUCF|PM25|Asthma symptoms cough", US_national_yearly!$D:$AM, 16, FALSE) / VLOOKUP("LULUCF|PM25|Asthma symptoms cough", US_national_yearly!$D:$AM, 10, FALSE), 1)</f>
        <v>6.6932235145250455E-5</v>
      </c>
      <c r="I6" s="7">
        <f>$B6 * IFERROR(VLOOKUP("LULUCF|PM25|Asthma symptoms cough", US_national_yearly!$D:$AM, 17, FALSE) / VLOOKUP("LULUCF|PM25|Asthma symptoms cough", US_national_yearly!$D:$AM, 10, FALSE), 1)</f>
        <v>6.6932235145250455E-5</v>
      </c>
      <c r="J6" s="7">
        <f>$B6 * IFERROR(VLOOKUP("LULUCF|PM25|Asthma symptoms cough", US_national_yearly!$D:$AM, 18, FALSE) / VLOOKUP("LULUCF|PM25|Asthma symptoms cough", US_national_yearly!$D:$AM, 10, FALSE), 1)</f>
        <v>6.6932235145250455E-5</v>
      </c>
      <c r="K6" s="7">
        <f>$B6 * IFERROR(VLOOKUP("LULUCF|PM25|Asthma symptoms cough", US_national_yearly!$D:$AM, 19, FALSE) / VLOOKUP("LULUCF|PM25|Asthma symptoms cough", US_national_yearly!$D:$AM, 10, FALSE), 1)</f>
        <v>6.6932235145250455E-5</v>
      </c>
      <c r="L6" s="7">
        <f>$B6 * IFERROR(VLOOKUP("LULUCF|PM25|Asthma symptoms cough", US_national_yearly!$D:$AM, 20, FALSE) / VLOOKUP("LULUCF|PM25|Asthma symptoms cough", US_national_yearly!$D:$AM, 10, FALSE), 1)</f>
        <v>6.6932235145250455E-5</v>
      </c>
      <c r="M6" s="7">
        <f>$B6 * IFERROR(VLOOKUP("LULUCF|PM25|Asthma symptoms cough", US_national_yearly!$D:$AM, 21, FALSE) / VLOOKUP("LULUCF|PM25|Asthma symptoms cough", US_national_yearly!$D:$AM, 10, FALSE), 1)</f>
        <v>6.6932235145250455E-5</v>
      </c>
      <c r="N6" s="7">
        <f>$B6 * IFERROR(VLOOKUP("LULUCF|PM25|Asthma symptoms cough", US_national_yearly!$D:$AM, 22, FALSE) / VLOOKUP("LULUCF|PM25|Asthma symptoms cough", US_national_yearly!$D:$AM, 10, FALSE), 1)</f>
        <v>6.6932235145250455E-5</v>
      </c>
      <c r="O6" s="7">
        <f>$B6 * IFERROR(VLOOKUP("LULUCF|PM25|Asthma symptoms cough", US_national_yearly!$D:$AM, 23, FALSE) / VLOOKUP("LULUCF|PM25|Asthma symptoms cough", US_national_yearly!$D:$AM, 10, FALSE), 1)</f>
        <v>6.6932235145250455E-5</v>
      </c>
      <c r="P6" s="7">
        <f>$B6 * IFERROR(VLOOKUP("LULUCF|PM25|Asthma symptoms cough", US_national_yearly!$D:$AM, 24, FALSE) / VLOOKUP("LULUCF|PM25|Asthma symptoms cough", US_national_yearly!$D:$AM, 10, FALSE), 1)</f>
        <v>6.6932235145250455E-5</v>
      </c>
      <c r="Q6" s="7">
        <f>$B6 * IFERROR(VLOOKUP("LULUCF|PM25|Asthma symptoms cough", US_national_yearly!$D:$AM, 25, FALSE) / VLOOKUP("LULUCF|PM25|Asthma symptoms cough", US_national_yearly!$D:$AM, 10, FALSE), 1)</f>
        <v>6.6932235145250455E-5</v>
      </c>
      <c r="R6" s="7">
        <f>$B6 * IFERROR(VLOOKUP("LULUCF|PM25|Asthma symptoms cough", US_national_yearly!$D:$AM, 26, FALSE) / VLOOKUP("LULUCF|PM25|Asthma symptoms cough", US_national_yearly!$D:$AM, 10, FALSE), 1)</f>
        <v>6.6932235145250455E-5</v>
      </c>
      <c r="S6" s="7">
        <f>$B6 * IFERROR(VLOOKUP("LULUCF|PM25|Asthma symptoms cough", US_national_yearly!$D:$AM, 27, FALSE) / VLOOKUP("LULUCF|PM25|Asthma symptoms cough", US_national_yearly!$D:$AM, 10, FALSE), 1)</f>
        <v>6.6932235145250455E-5</v>
      </c>
      <c r="T6" s="7">
        <f>$B6 * IFERROR(VLOOKUP("LULUCF|PM25|Asthma symptoms cough", US_national_yearly!$D:$AM, 28, FALSE) / VLOOKUP("LULUCF|PM25|Asthma symptoms cough", US_national_yearly!$D:$AM, 10, FALSE), 1)</f>
        <v>6.6932235145250455E-5</v>
      </c>
      <c r="U6" s="7">
        <f>$B6 * IFERROR(VLOOKUP("LULUCF|PM25|Asthma symptoms cough", US_national_yearly!$D:$AM, 29, FALSE) / VLOOKUP("LULUCF|PM25|Asthma symptoms cough", US_national_yearly!$D:$AM, 10, FALSE), 1)</f>
        <v>6.6932235145250455E-5</v>
      </c>
      <c r="V6" s="7">
        <f>$B6 * IFERROR(VLOOKUP("LULUCF|PM25|Asthma symptoms cough", US_national_yearly!$D:$AM, 30, FALSE) / VLOOKUP("LULUCF|PM25|Asthma symptoms cough", US_national_yearly!$D:$AM, 10, FALSE), 1)</f>
        <v>6.6932235145250455E-5</v>
      </c>
      <c r="W6" s="7">
        <f>$B6 * IFERROR(VLOOKUP("LULUCF|PM25|Asthma symptoms cough", US_national_yearly!$D:$AM, 31, FALSE) / VLOOKUP("LULUCF|PM25|Asthma symptoms cough", US_national_yearly!$D:$AM, 10, FALSE), 1)</f>
        <v>6.6932235145250455E-5</v>
      </c>
      <c r="X6" s="7">
        <f>$B6 * IFERROR(VLOOKUP("LULUCF|PM25|Asthma symptoms cough", US_national_yearly!$D:$AM, 32, FALSE) / VLOOKUP("LULUCF|PM25|Asthma symptoms cough", US_national_yearly!$D:$AM, 10, FALSE), 1)</f>
        <v>6.6932235145250455E-5</v>
      </c>
      <c r="Y6" s="7">
        <f>$B6 * IFERROR(VLOOKUP("LULUCF|PM25|Asthma symptoms cough", US_national_yearly!$D:$AM, 33, FALSE) / VLOOKUP("LULUCF|PM25|Asthma symptoms cough", US_national_yearly!$D:$AM, 10, FALSE), 1)</f>
        <v>6.6932235145250455E-5</v>
      </c>
      <c r="Z6" s="7">
        <f>$B6 * IFERROR(VLOOKUP("LULUCF|PM25|Asthma symptoms cough", US_national_yearly!$D:$AM, 34, FALSE) / VLOOKUP("LULUCF|PM25|Asthma symptoms cough", US_national_yearly!$D:$AM, 10, FALSE), 1)</f>
        <v>6.6932235145250455E-5</v>
      </c>
      <c r="AA6" s="7">
        <f>$B6 * IFERROR(VLOOKUP("LULUCF|PM25|Asthma symptoms cough", US_national_yearly!$D:$AM, 35, FALSE) / VLOOKUP("LULUCF|PM25|Asthma symptoms cough", US_national_yearly!$D:$AM, 10, FALSE), 1)</f>
        <v>6.6932235145250455E-5</v>
      </c>
      <c r="AB6" s="7">
        <f>$B6 * IFERROR(VLOOKUP("LULUCF|PM25|Asthma symptoms cough", US_national_yearly!$D:$AM, 36, FALSE) / VLOOKUP("LULUCF|PM25|Asthma symptoms cough", US_national_yearly!$D:$AM, 10, FALSE), 1)</f>
        <v>6.6932235145250455E-5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9.0133324227438855E-5</v>
      </c>
      <c r="C7" s="7">
        <f>$B7 * IFERROR(VLOOKUP("LULUCF|PM25|Asthma symptoms shortness of breath", US_national_yearly!$D:$AM, 11, FALSE) / VLOOKUP("LULUCF|PM25|Asthma symptoms shortness of breath", US_national_yearly!$D:$AM, 10, FALSE), 1)</f>
        <v>9.0133324227438855E-5</v>
      </c>
      <c r="D7" s="7">
        <f>$B7 * IFERROR(VLOOKUP("LULUCF|PM25|Asthma symptoms shortness of breath", US_national_yearly!$D:$AM, 12, FALSE) / VLOOKUP("LULUCF|PM25|Asthma symptoms shortness of breath", US_national_yearly!$D:$AM, 10, FALSE), 1)</f>
        <v>9.0133324227438855E-5</v>
      </c>
      <c r="E7" s="7">
        <f>$B7 * IFERROR(VLOOKUP("LULUCF|PM25|Asthma symptoms shortness of breath", US_national_yearly!$D:$AM, 13, FALSE) / VLOOKUP("LULUCF|PM25|Asthma symptoms shortness of breath", US_national_yearly!$D:$AM, 10, FALSE), 1)</f>
        <v>9.0133324227438855E-5</v>
      </c>
      <c r="F7" s="7">
        <f>$B7 * IFERROR(VLOOKUP("LULUCF|PM25|Asthma symptoms shortness of breath", US_national_yearly!$D:$AM, 14, FALSE) / VLOOKUP("LULUCF|PM25|Asthma symptoms shortness of breath", US_national_yearly!$D:$AM, 10, FALSE), 1)</f>
        <v>9.0133324227438855E-5</v>
      </c>
      <c r="G7" s="7">
        <f>$B7 * IFERROR(VLOOKUP("LULUCF|PM25|Asthma symptoms shortness of breath", US_national_yearly!$D:$AM, 15, FALSE) / VLOOKUP("LULUCF|PM25|Asthma symptoms shortness of breath", US_national_yearly!$D:$AM, 10, FALSE), 1)</f>
        <v>9.0133324227438855E-5</v>
      </c>
      <c r="H7" s="7">
        <f>$B7 * IFERROR(VLOOKUP("LULUCF|PM25|Asthma symptoms shortness of breath", US_national_yearly!$D:$AM, 16, FALSE) / VLOOKUP("LULUCF|PM25|Asthma symptoms shortness of breath", US_national_yearly!$D:$AM, 10, FALSE), 1)</f>
        <v>9.0133324227438855E-5</v>
      </c>
      <c r="I7" s="7">
        <f>$B7 * IFERROR(VLOOKUP("LULUCF|PM25|Asthma symptoms shortness of breath", US_national_yearly!$D:$AM, 17, FALSE) / VLOOKUP("LULUCF|PM25|Asthma symptoms shortness of breath", US_national_yearly!$D:$AM, 10, FALSE), 1)</f>
        <v>9.0133324227438855E-5</v>
      </c>
      <c r="J7" s="7">
        <f>$B7 * IFERROR(VLOOKUP("LULUCF|PM25|Asthma symptoms shortness of breath", US_national_yearly!$D:$AM, 18, FALSE) / VLOOKUP("LULUCF|PM25|Asthma symptoms shortness of breath", US_national_yearly!$D:$AM, 10, FALSE), 1)</f>
        <v>9.0133324227438855E-5</v>
      </c>
      <c r="K7" s="7">
        <f>$B7 * IFERROR(VLOOKUP("LULUCF|PM25|Asthma symptoms shortness of breath", US_national_yearly!$D:$AM, 19, FALSE) / VLOOKUP("LULUCF|PM25|Asthma symptoms shortness of breath", US_national_yearly!$D:$AM, 10, FALSE), 1)</f>
        <v>9.0133324227438855E-5</v>
      </c>
      <c r="L7" s="7">
        <f>$B7 * IFERROR(VLOOKUP("LULUCF|PM25|Asthma symptoms shortness of breath", US_national_yearly!$D:$AM, 20, FALSE) / VLOOKUP("LULUCF|PM25|Asthma symptoms shortness of breath", US_national_yearly!$D:$AM, 10, FALSE), 1)</f>
        <v>9.0133324227438855E-5</v>
      </c>
      <c r="M7" s="7">
        <f>$B7 * IFERROR(VLOOKUP("LULUCF|PM25|Asthma symptoms shortness of breath", US_national_yearly!$D:$AM, 21, FALSE) / VLOOKUP("LULUCF|PM25|Asthma symptoms shortness of breath", US_national_yearly!$D:$AM, 10, FALSE), 1)</f>
        <v>9.0133324227438855E-5</v>
      </c>
      <c r="N7" s="7">
        <f>$B7 * IFERROR(VLOOKUP("LULUCF|PM25|Asthma symptoms shortness of breath", US_national_yearly!$D:$AM, 22, FALSE) / VLOOKUP("LULUCF|PM25|Asthma symptoms shortness of breath", US_national_yearly!$D:$AM, 10, FALSE), 1)</f>
        <v>9.0133324227438855E-5</v>
      </c>
      <c r="O7" s="7">
        <f>$B7 * IFERROR(VLOOKUP("LULUCF|PM25|Asthma symptoms shortness of breath", US_national_yearly!$D:$AM, 23, FALSE) / VLOOKUP("LULUCF|PM25|Asthma symptoms shortness of breath", US_national_yearly!$D:$AM, 10, FALSE), 1)</f>
        <v>9.0133324227438855E-5</v>
      </c>
      <c r="P7" s="7">
        <f>$B7 * IFERROR(VLOOKUP("LULUCF|PM25|Asthma symptoms shortness of breath", US_national_yearly!$D:$AM, 24, FALSE) / VLOOKUP("LULUCF|PM25|Asthma symptoms shortness of breath", US_national_yearly!$D:$AM, 10, FALSE), 1)</f>
        <v>9.0133324227438855E-5</v>
      </c>
      <c r="Q7" s="7">
        <f>$B7 * IFERROR(VLOOKUP("LULUCF|PM25|Asthma symptoms shortness of breath", US_national_yearly!$D:$AM, 25, FALSE) / VLOOKUP("LULUCF|PM25|Asthma symptoms shortness of breath", US_national_yearly!$D:$AM, 10, FALSE), 1)</f>
        <v>9.0133324227438855E-5</v>
      </c>
      <c r="R7" s="7">
        <f>$B7 * IFERROR(VLOOKUP("LULUCF|PM25|Asthma symptoms shortness of breath", US_national_yearly!$D:$AM, 26, FALSE) / VLOOKUP("LULUCF|PM25|Asthma symptoms shortness of breath", US_national_yearly!$D:$AM, 10, FALSE), 1)</f>
        <v>9.0133324227438855E-5</v>
      </c>
      <c r="S7" s="7">
        <f>$B7 * IFERROR(VLOOKUP("LULUCF|PM25|Asthma symptoms shortness of breath", US_national_yearly!$D:$AM, 27, FALSE) / VLOOKUP("LULUCF|PM25|Asthma symptoms shortness of breath", US_national_yearly!$D:$AM, 10, FALSE), 1)</f>
        <v>9.0133324227438855E-5</v>
      </c>
      <c r="T7" s="7">
        <f>$B7 * IFERROR(VLOOKUP("LULUCF|PM25|Asthma symptoms shortness of breath", US_national_yearly!$D:$AM, 28, FALSE) / VLOOKUP("LULUCF|PM25|Asthma symptoms shortness of breath", US_national_yearly!$D:$AM, 10, FALSE), 1)</f>
        <v>9.0133324227438855E-5</v>
      </c>
      <c r="U7" s="7">
        <f>$B7 * IFERROR(VLOOKUP("LULUCF|PM25|Asthma symptoms shortness of breath", US_national_yearly!$D:$AM, 29, FALSE) / VLOOKUP("LULUCF|PM25|Asthma symptoms shortness of breath", US_national_yearly!$D:$AM, 10, FALSE), 1)</f>
        <v>9.0133324227438855E-5</v>
      </c>
      <c r="V7" s="7">
        <f>$B7 * IFERROR(VLOOKUP("LULUCF|PM25|Asthma symptoms shortness of breath", US_national_yearly!$D:$AM, 30, FALSE) / VLOOKUP("LULUCF|PM25|Asthma symptoms shortness of breath", US_national_yearly!$D:$AM, 10, FALSE), 1)</f>
        <v>9.0133324227438855E-5</v>
      </c>
      <c r="W7" s="7">
        <f>$B7 * IFERROR(VLOOKUP("LULUCF|PM25|Asthma symptoms shortness of breath", US_national_yearly!$D:$AM, 31, FALSE) / VLOOKUP("LULUCF|PM25|Asthma symptoms shortness of breath", US_national_yearly!$D:$AM, 10, FALSE), 1)</f>
        <v>9.0133324227438855E-5</v>
      </c>
      <c r="X7" s="7">
        <f>$B7 * IFERROR(VLOOKUP("LULUCF|PM25|Asthma symptoms shortness of breath", US_national_yearly!$D:$AM, 32, FALSE) / VLOOKUP("LULUCF|PM25|Asthma symptoms shortness of breath", US_national_yearly!$D:$AM, 10, FALSE), 1)</f>
        <v>9.0133324227438855E-5</v>
      </c>
      <c r="Y7" s="7">
        <f>$B7 * IFERROR(VLOOKUP("LULUCF|PM25|Asthma symptoms shortness of breath", US_national_yearly!$D:$AM, 33, FALSE) / VLOOKUP("LULUCF|PM25|Asthma symptoms shortness of breath", US_national_yearly!$D:$AM, 10, FALSE), 1)</f>
        <v>9.0133324227438855E-5</v>
      </c>
      <c r="Z7" s="7">
        <f>$B7 * IFERROR(VLOOKUP("LULUCF|PM25|Asthma symptoms shortness of breath", US_national_yearly!$D:$AM, 34, FALSE) / VLOOKUP("LULUCF|PM25|Asthma symptoms shortness of breath", US_national_yearly!$D:$AM, 10, FALSE), 1)</f>
        <v>9.0133324227438855E-5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9.0133324227438855E-5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9.0133324227438855E-5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1.3771073552368694E-4</v>
      </c>
      <c r="C8" s="7">
        <f>$B8 * IFERROR(VLOOKUP("LULUCF|PM25|Asthma symptoms wheeze", US_national_yearly!$D:$AM, 11, FALSE) / VLOOKUP("LULUCF|PM25|Asthma symptoms wheeze", US_national_yearly!$D:$AM, 10, FALSE), 1)</f>
        <v>1.3771073552368694E-4</v>
      </c>
      <c r="D8" s="7">
        <f>$B8 * IFERROR(VLOOKUP("LULUCF|PM25|Asthma symptoms wheeze", US_national_yearly!$D:$AM, 12, FALSE) / VLOOKUP("LULUCF|PM25|Asthma symptoms wheeze", US_national_yearly!$D:$AM, 10, FALSE), 1)</f>
        <v>1.3771073552368694E-4</v>
      </c>
      <c r="E8" s="7">
        <f>$B8 * IFERROR(VLOOKUP("LULUCF|PM25|Asthma symptoms wheeze", US_national_yearly!$D:$AM, 13, FALSE) / VLOOKUP("LULUCF|PM25|Asthma symptoms wheeze", US_national_yearly!$D:$AM, 10, FALSE), 1)</f>
        <v>1.3771073552368694E-4</v>
      </c>
      <c r="F8" s="7">
        <f>$B8 * IFERROR(VLOOKUP("LULUCF|PM25|Asthma symptoms wheeze", US_national_yearly!$D:$AM, 14, FALSE) / VLOOKUP("LULUCF|PM25|Asthma symptoms wheeze", US_national_yearly!$D:$AM, 10, FALSE), 1)</f>
        <v>1.3771073552368694E-4</v>
      </c>
      <c r="G8" s="7">
        <f>$B8 * IFERROR(VLOOKUP("LULUCF|PM25|Asthma symptoms wheeze", US_national_yearly!$D:$AM, 15, FALSE) / VLOOKUP("LULUCF|PM25|Asthma symptoms wheeze", US_national_yearly!$D:$AM, 10, FALSE), 1)</f>
        <v>1.3771073552368694E-4</v>
      </c>
      <c r="H8" s="7">
        <f>$B8 * IFERROR(VLOOKUP("LULUCF|PM25|Asthma symptoms wheeze", US_national_yearly!$D:$AM, 16, FALSE) / VLOOKUP("LULUCF|PM25|Asthma symptoms wheeze", US_national_yearly!$D:$AM, 10, FALSE), 1)</f>
        <v>1.3771073552368694E-4</v>
      </c>
      <c r="I8" s="7">
        <f>$B8 * IFERROR(VLOOKUP("LULUCF|PM25|Asthma symptoms wheeze", US_national_yearly!$D:$AM, 17, FALSE) / VLOOKUP("LULUCF|PM25|Asthma symptoms wheeze", US_national_yearly!$D:$AM, 10, FALSE), 1)</f>
        <v>1.3771073552368694E-4</v>
      </c>
      <c r="J8" s="7">
        <f>$B8 * IFERROR(VLOOKUP("LULUCF|PM25|Asthma symptoms wheeze", US_national_yearly!$D:$AM, 18, FALSE) / VLOOKUP("LULUCF|PM25|Asthma symptoms wheeze", US_national_yearly!$D:$AM, 10, FALSE), 1)</f>
        <v>1.3771073552368694E-4</v>
      </c>
      <c r="K8" s="7">
        <f>$B8 * IFERROR(VLOOKUP("LULUCF|PM25|Asthma symptoms wheeze", US_national_yearly!$D:$AM, 19, FALSE) / VLOOKUP("LULUCF|PM25|Asthma symptoms wheeze", US_national_yearly!$D:$AM, 10, FALSE), 1)</f>
        <v>1.3771073552368694E-4</v>
      </c>
      <c r="L8" s="7">
        <f>$B8 * IFERROR(VLOOKUP("LULUCF|PM25|Asthma symptoms wheeze", US_national_yearly!$D:$AM, 20, FALSE) / VLOOKUP("LULUCF|PM25|Asthma symptoms wheeze", US_national_yearly!$D:$AM, 10, FALSE), 1)</f>
        <v>1.3771073552368694E-4</v>
      </c>
      <c r="M8" s="7">
        <f>$B8 * IFERROR(VLOOKUP("LULUCF|PM25|Asthma symptoms wheeze", US_national_yearly!$D:$AM, 21, FALSE) / VLOOKUP("LULUCF|PM25|Asthma symptoms wheeze", US_national_yearly!$D:$AM, 10, FALSE), 1)</f>
        <v>1.3771073552368694E-4</v>
      </c>
      <c r="N8" s="7">
        <f>$B8 * IFERROR(VLOOKUP("LULUCF|PM25|Asthma symptoms wheeze", US_national_yearly!$D:$AM, 22, FALSE) / VLOOKUP("LULUCF|PM25|Asthma symptoms wheeze", US_national_yearly!$D:$AM, 10, FALSE), 1)</f>
        <v>1.3771073552368694E-4</v>
      </c>
      <c r="O8" s="7">
        <f>$B8 * IFERROR(VLOOKUP("LULUCF|PM25|Asthma symptoms wheeze", US_national_yearly!$D:$AM, 23, FALSE) / VLOOKUP("LULUCF|PM25|Asthma symptoms wheeze", US_national_yearly!$D:$AM, 10, FALSE), 1)</f>
        <v>1.3771073552368694E-4</v>
      </c>
      <c r="P8" s="7">
        <f>$B8 * IFERROR(VLOOKUP("LULUCF|PM25|Asthma symptoms wheeze", US_national_yearly!$D:$AM, 24, FALSE) / VLOOKUP("LULUCF|PM25|Asthma symptoms wheeze", US_national_yearly!$D:$AM, 10, FALSE), 1)</f>
        <v>1.3771073552368694E-4</v>
      </c>
      <c r="Q8" s="7">
        <f>$B8 * IFERROR(VLOOKUP("LULUCF|PM25|Asthma symptoms wheeze", US_national_yearly!$D:$AM, 25, FALSE) / VLOOKUP("LULUCF|PM25|Asthma symptoms wheeze", US_national_yearly!$D:$AM, 10, FALSE), 1)</f>
        <v>1.3771073552368694E-4</v>
      </c>
      <c r="R8" s="7">
        <f>$B8 * IFERROR(VLOOKUP("LULUCF|PM25|Asthma symptoms wheeze", US_national_yearly!$D:$AM, 26, FALSE) / VLOOKUP("LULUCF|PM25|Asthma symptoms wheeze", US_national_yearly!$D:$AM, 10, FALSE), 1)</f>
        <v>1.3771073552368694E-4</v>
      </c>
      <c r="S8" s="7">
        <f>$B8 * IFERROR(VLOOKUP("LULUCF|PM25|Asthma symptoms wheeze", US_national_yearly!$D:$AM, 27, FALSE) / VLOOKUP("LULUCF|PM25|Asthma symptoms wheeze", US_national_yearly!$D:$AM, 10, FALSE), 1)</f>
        <v>1.3771073552368694E-4</v>
      </c>
      <c r="T8" s="7">
        <f>$B8 * IFERROR(VLOOKUP("LULUCF|PM25|Asthma symptoms wheeze", US_national_yearly!$D:$AM, 28, FALSE) / VLOOKUP("LULUCF|PM25|Asthma symptoms wheeze", US_national_yearly!$D:$AM, 10, FALSE), 1)</f>
        <v>1.3771073552368694E-4</v>
      </c>
      <c r="U8" s="7">
        <f>$B8 * IFERROR(VLOOKUP("LULUCF|PM25|Asthma symptoms wheeze", US_national_yearly!$D:$AM, 29, FALSE) / VLOOKUP("LULUCF|PM25|Asthma symptoms wheeze", US_national_yearly!$D:$AM, 10, FALSE), 1)</f>
        <v>1.3771073552368694E-4</v>
      </c>
      <c r="V8" s="7">
        <f>$B8 * IFERROR(VLOOKUP("LULUCF|PM25|Asthma symptoms wheeze", US_national_yearly!$D:$AM, 30, FALSE) / VLOOKUP("LULUCF|PM25|Asthma symptoms wheeze", US_national_yearly!$D:$AM, 10, FALSE), 1)</f>
        <v>1.3771073552368694E-4</v>
      </c>
      <c r="W8" s="7">
        <f>$B8 * IFERROR(VLOOKUP("LULUCF|PM25|Asthma symptoms wheeze", US_national_yearly!$D:$AM, 31, FALSE) / VLOOKUP("LULUCF|PM25|Asthma symptoms wheeze", US_national_yearly!$D:$AM, 10, FALSE), 1)</f>
        <v>1.3771073552368694E-4</v>
      </c>
      <c r="X8" s="7">
        <f>$B8 * IFERROR(VLOOKUP("LULUCF|PM25|Asthma symptoms wheeze", US_national_yearly!$D:$AM, 32, FALSE) / VLOOKUP("LULUCF|PM25|Asthma symptoms wheeze", US_national_yearly!$D:$AM, 10, FALSE), 1)</f>
        <v>1.3771073552368694E-4</v>
      </c>
      <c r="Y8" s="7">
        <f>$B8 * IFERROR(VLOOKUP("LULUCF|PM25|Asthma symptoms wheeze", US_national_yearly!$D:$AM, 33, FALSE) / VLOOKUP("LULUCF|PM25|Asthma symptoms wheeze", US_national_yearly!$D:$AM, 10, FALSE), 1)</f>
        <v>1.3771073552368694E-4</v>
      </c>
      <c r="Z8" s="7">
        <f>$B8 * IFERROR(VLOOKUP("LULUCF|PM25|Asthma symptoms wheeze", US_national_yearly!$D:$AM, 34, FALSE) / VLOOKUP("LULUCF|PM25|Asthma symptoms wheeze", US_national_yearly!$D:$AM, 10, FALSE), 1)</f>
        <v>1.3771073552368694E-4</v>
      </c>
      <c r="AA8" s="7">
        <f>$B8 * IFERROR(VLOOKUP("LULUCF|PM25|Asthma symptoms wheeze", US_national_yearly!$D:$AM, 35, FALSE) / VLOOKUP("LULUCF|PM25|Asthma symptoms wheeze", US_national_yearly!$D:$AM, 10, FALSE), 1)</f>
        <v>1.3771073552368694E-4</v>
      </c>
      <c r="AB8" s="7">
        <f>$B8 * IFERROR(VLOOKUP("LULUCF|PM25|Asthma symptoms wheeze", US_national_yearly!$D:$AM, 36, FALSE) / VLOOKUP("LULUCF|PM25|Asthma symptoms wheeze", US_national_yearly!$D:$AM, 10, FALSE), 1)</f>
        <v>1.3771073552368694E-4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1.4427305234578487E-6</v>
      </c>
      <c r="C12" s="7">
        <f>$B12 * IFERROR(VLOOKUP("LULUCF|PM25|Respiratory hospital admissions", US_national_yearly!$D:$AM, 11, FALSE) / VLOOKUP("LULUCF|PM25|Respiratory hospital admissions", US_national_yearly!$D:$AM, 10, FALSE), 1)</f>
        <v>1.4509996733157412E-6</v>
      </c>
      <c r="D12" s="7">
        <f>$B12 * IFERROR(VLOOKUP("LULUCF|PM25|Respiratory hospital admissions", US_national_yearly!$D:$AM, 12, FALSE) / VLOOKUP("LULUCF|PM25|Respiratory hospital admissions", US_national_yearly!$D:$AM, 10, FALSE), 1)</f>
        <v>1.4592688231736333E-6</v>
      </c>
      <c r="E12" s="7">
        <f>$B12 * IFERROR(VLOOKUP("LULUCF|PM25|Respiratory hospital admissions", US_national_yearly!$D:$AM, 13, FALSE) / VLOOKUP("LULUCF|PM25|Respiratory hospital admissions", US_national_yearly!$D:$AM, 10, FALSE), 1)</f>
        <v>1.4675379730315256E-6</v>
      </c>
      <c r="F12" s="7">
        <f>$B12 * IFERROR(VLOOKUP("LULUCF|PM25|Respiratory hospital admissions", US_national_yearly!$D:$AM, 14, FALSE) / VLOOKUP("LULUCF|PM25|Respiratory hospital admissions", US_national_yearly!$D:$AM, 10, FALSE), 1)</f>
        <v>1.4758071228894178E-6</v>
      </c>
      <c r="G12" s="7">
        <f>$B12 * IFERROR(VLOOKUP("LULUCF|PM25|Respiratory hospital admissions", US_national_yearly!$D:$AM, 15, FALSE) / VLOOKUP("LULUCF|PM25|Respiratory hospital admissions", US_national_yearly!$D:$AM, 10, FALSE), 1)</f>
        <v>1.4847381574588083E-6</v>
      </c>
      <c r="H12" s="7">
        <f>$B12 * IFERROR(VLOOKUP("LULUCF|PM25|Respiratory hospital admissions", US_national_yearly!$D:$AM, 16, FALSE) / VLOOKUP("LULUCF|PM25|Respiratory hospital admissions", US_national_yearly!$D:$AM, 10, FALSE), 1)</f>
        <v>1.4936691920281988E-6</v>
      </c>
      <c r="I12" s="7">
        <f>$B12 * IFERROR(VLOOKUP("LULUCF|PM25|Respiratory hospital admissions", US_national_yearly!$D:$AM, 17, FALSE) / VLOOKUP("LULUCF|PM25|Respiratory hospital admissions", US_national_yearly!$D:$AM, 10, FALSE), 1)</f>
        <v>1.5022024562378826E-6</v>
      </c>
      <c r="J12" s="7">
        <f>$B12 * IFERROR(VLOOKUP("LULUCF|PM25|Respiratory hospital admissions", US_national_yearly!$D:$AM, 18, FALSE) / VLOOKUP("LULUCF|PM25|Respiratory hospital admissions", US_national_yearly!$D:$AM, 10, FALSE), 1)</f>
        <v>1.5107357204475669E-6</v>
      </c>
      <c r="K12" s="7">
        <f>$B12 * IFERROR(VLOOKUP("LULUCF|PM25|Respiratory hospital admissions", US_national_yearly!$D:$AM, 19, FALSE) / VLOOKUP("LULUCF|PM25|Respiratory hospital admissions", US_national_yearly!$D:$AM, 10, FALSE), 1)</f>
        <v>1.5192689846572509E-6</v>
      </c>
      <c r="L12" s="7">
        <f>$B12 * IFERROR(VLOOKUP("LULUCF|PM25|Respiratory hospital admissions", US_national_yearly!$D:$AM, 20, FALSE) / VLOOKUP("LULUCF|PM25|Respiratory hospital admissions", US_national_yearly!$D:$AM, 10, FALSE), 1)</f>
        <v>1.5278022488669352E-6</v>
      </c>
      <c r="M12" s="7">
        <f>$B12 * IFERROR(VLOOKUP("LULUCF|PM25|Respiratory hospital admissions", US_national_yearly!$D:$AM, 21, FALSE) / VLOOKUP("LULUCF|PM25|Respiratory hospital admissions", US_national_yearly!$D:$AM, 10, FALSE), 1)</f>
        <v>1.536335513076619E-6</v>
      </c>
      <c r="N12" s="7">
        <f>$B12 * IFERROR(VLOOKUP("LULUCF|PM25|Respiratory hospital admissions", US_national_yearly!$D:$AM, 22, FALSE) / VLOOKUP("LULUCF|PM25|Respiratory hospital admissions", US_national_yearly!$D:$AM, 10, FALSE), 1)</f>
        <v>1.5424600858161664E-6</v>
      </c>
      <c r="O12" s="7">
        <f>$B12 * IFERROR(VLOOKUP("LULUCF|PM25|Respiratory hospital admissions", US_national_yearly!$D:$AM, 23, FALSE) / VLOOKUP("LULUCF|PM25|Respiratory hospital admissions", US_national_yearly!$D:$AM, 10, FALSE), 1)</f>
        <v>1.5485846585557135E-6</v>
      </c>
      <c r="P12" s="7">
        <f>$B12 * IFERROR(VLOOKUP("LULUCF|PM25|Respiratory hospital admissions", US_national_yearly!$D:$AM, 24, FALSE) / VLOOKUP("LULUCF|PM25|Respiratory hospital admissions", US_national_yearly!$D:$AM, 10, FALSE), 1)</f>
        <v>1.5547092312952603E-6</v>
      </c>
      <c r="Q12" s="7">
        <f>$B12 * IFERROR(VLOOKUP("LULUCF|PM25|Respiratory hospital admissions", US_national_yearly!$D:$AM, 25, FALSE) / VLOOKUP("LULUCF|PM25|Respiratory hospital admissions", US_national_yearly!$D:$AM, 10, FALSE), 1)</f>
        <v>1.5608338040348073E-6</v>
      </c>
      <c r="R12" s="7">
        <f>$B12 * IFERROR(VLOOKUP("LULUCF|PM25|Respiratory hospital admissions", US_national_yearly!$D:$AM, 26, FALSE) / VLOOKUP("LULUCF|PM25|Respiratory hospital admissions", US_national_yearly!$D:$AM, 10, FALSE), 1)</f>
        <v>1.5669583767743547E-6</v>
      </c>
      <c r="S12" s="7">
        <f>$B12 * IFERROR(VLOOKUP("LULUCF|PM25|Respiratory hospital admissions", US_national_yearly!$D:$AM, 27, FALSE) / VLOOKUP("LULUCF|PM25|Respiratory hospital admissions", US_national_yearly!$D:$AM, 10, FALSE), 1)</f>
        <v>1.5727897770443088E-6</v>
      </c>
      <c r="T12" s="7">
        <f>$B12 * IFERROR(VLOOKUP("LULUCF|PM25|Respiratory hospital admissions", US_national_yearly!$D:$AM, 28, FALSE) / VLOOKUP("LULUCF|PM25|Respiratory hospital admissions", US_national_yearly!$D:$AM, 10, FALSE), 1)</f>
        <v>1.5786211773142633E-6</v>
      </c>
      <c r="U12" s="7">
        <f>$B12 * IFERROR(VLOOKUP("LULUCF|PM25|Respiratory hospital admissions", US_national_yearly!$D:$AM, 29, FALSE) / VLOOKUP("LULUCF|PM25|Respiratory hospital admissions", US_national_yearly!$D:$AM, 10, FALSE), 1)</f>
        <v>1.5844525775842173E-6</v>
      </c>
      <c r="V12" s="7">
        <f>$B12 * IFERROR(VLOOKUP("LULUCF|PM25|Respiratory hospital admissions", US_national_yearly!$D:$AM, 30, FALSE) / VLOOKUP("LULUCF|PM25|Respiratory hospital admissions", US_national_yearly!$D:$AM, 10, FALSE), 1)</f>
        <v>1.5902839778541714E-6</v>
      </c>
      <c r="W12" s="7">
        <f>$B12 * IFERROR(VLOOKUP("LULUCF|PM25|Respiratory hospital admissions", US_national_yearly!$D:$AM, 31, FALSE) / VLOOKUP("LULUCF|PM25|Respiratory hospital admissions", US_national_yearly!$D:$AM, 10, FALSE), 1)</f>
        <v>1.5961153781241254E-6</v>
      </c>
      <c r="X12" s="7">
        <f>$B12 * IFERROR(VLOOKUP("LULUCF|PM25|Respiratory hospital admissions", US_national_yearly!$D:$AM, 32, FALSE) / VLOOKUP("LULUCF|PM25|Respiratory hospital admissions", US_national_yearly!$D:$AM, 10, FALSE), 1)</f>
        <v>1.6017252595701555E-6</v>
      </c>
      <c r="Y12" s="7">
        <f>$B12 * IFERROR(VLOOKUP("LULUCF|PM25|Respiratory hospital admissions", US_national_yearly!$D:$AM, 33, FALSE) / VLOOKUP("LULUCF|PM25|Respiratory hospital admissions", US_national_yearly!$D:$AM, 10, FALSE), 1)</f>
        <v>1.607335141016185E-6</v>
      </c>
      <c r="Z12" s="7">
        <f>$B12 * IFERROR(VLOOKUP("LULUCF|PM25|Respiratory hospital admissions", US_national_yearly!$D:$AM, 34, FALSE) / VLOOKUP("LULUCF|PM25|Respiratory hospital admissions", US_national_yearly!$D:$AM, 10, FALSE), 1)</f>
        <v>1.6129450224622148E-6</v>
      </c>
      <c r="AA12" s="7">
        <f>$B12 * IFERROR(VLOOKUP("LULUCF|PM25|Respiratory hospital admissions", US_national_yearly!$D:$AM, 35, FALSE) / VLOOKUP("LULUCF|PM25|Respiratory hospital admissions", US_national_yearly!$D:$AM, 10, FALSE), 1)</f>
        <v>1.6185549039082443E-6</v>
      </c>
      <c r="AB12" s="7">
        <f>$B12 * IFERROR(VLOOKUP("LULUCF|PM25|Respiratory hospital admissions", US_national_yearly!$D:$AM, 36, FALSE) / VLOOKUP("LULUCF|PM25|Respiratory hospital admissions", US_national_yearly!$D:$AM, 10, FALSE), 1)</f>
        <v>1.624164785354274E-6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6.961867543644171E-6</v>
      </c>
      <c r="C13" s="7">
        <f>$B13 * IFERROR(VLOOKUP("LULUCF|PM25|Non-fatal heart attacks", US_national_yearly!$D:$AM, 11, FALSE) / VLOOKUP("LULUCF|PM25|Non-fatal heart attacks", US_national_yearly!$D:$AM, 10, FALSE), 1)</f>
        <v>7.1642675078199416E-6</v>
      </c>
      <c r="D13" s="7">
        <f>$B13 * IFERROR(VLOOKUP("LULUCF|PM25|Non-fatal heart attacks", US_national_yearly!$D:$AM, 12, FALSE) / VLOOKUP("LULUCF|PM25|Non-fatal heart attacks", US_national_yearly!$D:$AM, 10, FALSE), 1)</f>
        <v>7.3666674719957122E-6</v>
      </c>
      <c r="E13" s="7">
        <f>$B13 * IFERROR(VLOOKUP("LULUCF|PM25|Non-fatal heart attacks", US_national_yearly!$D:$AM, 13, FALSE) / VLOOKUP("LULUCF|PM25|Non-fatal heart attacks", US_national_yearly!$D:$AM, 10, FALSE), 1)</f>
        <v>7.5690674361714819E-6</v>
      </c>
      <c r="F13" s="7">
        <f>$B13 * IFERROR(VLOOKUP("LULUCF|PM25|Non-fatal heart attacks", US_national_yearly!$D:$AM, 14, FALSE) / VLOOKUP("LULUCF|PM25|Non-fatal heart attacks", US_national_yearly!$D:$AM, 10, FALSE), 1)</f>
        <v>7.7714674003472542E-6</v>
      </c>
      <c r="G13" s="7">
        <f>$B13 * IFERROR(VLOOKUP("LULUCF|PM25|Non-fatal heart attacks", US_national_yearly!$D:$AM, 15, FALSE) / VLOOKUP("LULUCF|PM25|Non-fatal heart attacks", US_national_yearly!$D:$AM, 10, FALSE), 1)</f>
        <v>7.9623433620426739E-6</v>
      </c>
      <c r="H13" s="7">
        <f>$B13 * IFERROR(VLOOKUP("LULUCF|PM25|Non-fatal heart attacks", US_national_yearly!$D:$AM, 16, FALSE) / VLOOKUP("LULUCF|PM25|Non-fatal heart attacks", US_national_yearly!$D:$AM, 10, FALSE), 1)</f>
        <v>8.1532193237380918E-6</v>
      </c>
      <c r="I13" s="7">
        <f>$B13 * IFERROR(VLOOKUP("LULUCF|PM25|Non-fatal heart attacks", US_national_yearly!$D:$AM, 17, FALSE) / VLOOKUP("LULUCF|PM25|Non-fatal heart attacks", US_national_yearly!$D:$AM, 10, FALSE), 1)</f>
        <v>8.3066200820095071E-6</v>
      </c>
      <c r="J13" s="7">
        <f>$B13 * IFERROR(VLOOKUP("LULUCF|PM25|Non-fatal heart attacks", US_national_yearly!$D:$AM, 18, FALSE) / VLOOKUP("LULUCF|PM25|Non-fatal heart attacks", US_national_yearly!$D:$AM, 10, FALSE), 1)</f>
        <v>8.4600208402809224E-6</v>
      </c>
      <c r="K13" s="7">
        <f>$B13 * IFERROR(VLOOKUP("LULUCF|PM25|Non-fatal heart attacks", US_national_yearly!$D:$AM, 19, FALSE) / VLOOKUP("LULUCF|PM25|Non-fatal heart attacks", US_national_yearly!$D:$AM, 10, FALSE), 1)</f>
        <v>8.6134215985523394E-6</v>
      </c>
      <c r="L13" s="7">
        <f>$B13 * IFERROR(VLOOKUP("LULUCF|PM25|Non-fatal heart attacks", US_national_yearly!$D:$AM, 20, FALSE) / VLOOKUP("LULUCF|PM25|Non-fatal heart attacks", US_national_yearly!$D:$AM, 10, FALSE), 1)</f>
        <v>8.7668223568237546E-6</v>
      </c>
      <c r="M13" s="7">
        <f>$B13 * IFERROR(VLOOKUP("LULUCF|PM25|Non-fatal heart attacks", US_national_yearly!$D:$AM, 21, FALSE) / VLOOKUP("LULUCF|PM25|Non-fatal heart attacks", US_national_yearly!$D:$AM, 10, FALSE), 1)</f>
        <v>8.9202231150951716E-6</v>
      </c>
      <c r="N13" s="7">
        <f>$B13 * IFERROR(VLOOKUP("LULUCF|PM25|Non-fatal heart attacks", US_national_yearly!$D:$AM, 22, FALSE) / VLOOKUP("LULUCF|PM25|Non-fatal heart attacks", US_national_yearly!$D:$AM, 10, FALSE), 1)</f>
        <v>9.0191514565487758E-6</v>
      </c>
      <c r="O13" s="7">
        <f>$B13 * IFERROR(VLOOKUP("LULUCF|PM25|Non-fatal heart attacks", US_national_yearly!$D:$AM, 23, FALSE) / VLOOKUP("LULUCF|PM25|Non-fatal heart attacks", US_national_yearly!$D:$AM, 10, FALSE), 1)</f>
        <v>9.1180797980023833E-6</v>
      </c>
      <c r="P13" s="7">
        <f>$B13 * IFERROR(VLOOKUP("LULUCF|PM25|Non-fatal heart attacks", US_national_yearly!$D:$AM, 24, FALSE) / VLOOKUP("LULUCF|PM25|Non-fatal heart attacks", US_national_yearly!$D:$AM, 10, FALSE), 1)</f>
        <v>9.2170081394559892E-6</v>
      </c>
      <c r="Q13" s="7">
        <f>$B13 * IFERROR(VLOOKUP("LULUCF|PM25|Non-fatal heart attacks", US_national_yearly!$D:$AM, 25, FALSE) / VLOOKUP("LULUCF|PM25|Non-fatal heart attacks", US_national_yearly!$D:$AM, 10, FALSE), 1)</f>
        <v>9.3159364809095933E-6</v>
      </c>
      <c r="R13" s="7">
        <f>$B13 * IFERROR(VLOOKUP("LULUCF|PM25|Non-fatal heart attacks", US_national_yearly!$D:$AM, 26, FALSE) / VLOOKUP("LULUCF|PM25|Non-fatal heart attacks", US_national_yearly!$D:$AM, 10, FALSE), 1)</f>
        <v>9.4148648223631992E-6</v>
      </c>
      <c r="S13" s="7">
        <f>$B13 * IFERROR(VLOOKUP("LULUCF|PM25|Non-fatal heart attacks", US_national_yearly!$D:$AM, 27, FALSE) / VLOOKUP("LULUCF|PM25|Non-fatal heart attacks", US_national_yearly!$D:$AM, 10, FALSE), 1)</f>
        <v>9.4669633133338127E-6</v>
      </c>
      <c r="T13" s="7">
        <f>$B13 * IFERROR(VLOOKUP("LULUCF|PM25|Non-fatal heart attacks", US_national_yearly!$D:$AM, 28, FALSE) / VLOOKUP("LULUCF|PM25|Non-fatal heart attacks", US_national_yearly!$D:$AM, 10, FALSE), 1)</f>
        <v>9.5190618043044296E-6</v>
      </c>
      <c r="U13" s="7">
        <f>$B13 * IFERROR(VLOOKUP("LULUCF|PM25|Non-fatal heart attacks", US_national_yearly!$D:$AM, 29, FALSE) / VLOOKUP("LULUCF|PM25|Non-fatal heart attacks", US_national_yearly!$D:$AM, 10, FALSE), 1)</f>
        <v>9.5711602952750464E-6</v>
      </c>
      <c r="V13" s="7">
        <f>$B13 * IFERROR(VLOOKUP("LULUCF|PM25|Non-fatal heart attacks", US_national_yearly!$D:$AM, 30, FALSE) / VLOOKUP("LULUCF|PM25|Non-fatal heart attacks", US_national_yearly!$D:$AM, 10, FALSE), 1)</f>
        <v>9.6232587862456616E-6</v>
      </c>
      <c r="W13" s="7">
        <f>$B13 * IFERROR(VLOOKUP("LULUCF|PM25|Non-fatal heart attacks", US_national_yearly!$D:$AM, 31, FALSE) / VLOOKUP("LULUCF|PM25|Non-fatal heart attacks", US_national_yearly!$D:$AM, 10, FALSE), 1)</f>
        <v>9.6753572772162768E-6</v>
      </c>
      <c r="X13" s="7">
        <f>$B13 * IFERROR(VLOOKUP("LULUCF|PM25|Non-fatal heart attacks", US_national_yearly!$D:$AM, 32, FALSE) / VLOOKUP("LULUCF|PM25|Non-fatal heart attacks", US_national_yearly!$D:$AM, 10, FALSE), 1)</f>
        <v>9.7149075651499436E-6</v>
      </c>
      <c r="Y13" s="7">
        <f>$B13 * IFERROR(VLOOKUP("LULUCF|PM25|Non-fatal heart attacks", US_national_yearly!$D:$AM, 33, FALSE) / VLOOKUP("LULUCF|PM25|Non-fatal heart attacks", US_national_yearly!$D:$AM, 10, FALSE), 1)</f>
        <v>9.7544578530836139E-6</v>
      </c>
      <c r="Z13" s="7">
        <f>$B13 * IFERROR(VLOOKUP("LULUCF|PM25|Non-fatal heart attacks", US_national_yearly!$D:$AM, 34, FALSE) / VLOOKUP("LULUCF|PM25|Non-fatal heart attacks", US_national_yearly!$D:$AM, 10, FALSE), 1)</f>
        <v>9.7940081410172807E-6</v>
      </c>
      <c r="AA13" s="7">
        <f>$B13 * IFERROR(VLOOKUP("LULUCF|PM25|Non-fatal heart attacks", US_national_yearly!$D:$AM, 35, FALSE) / VLOOKUP("LULUCF|PM25|Non-fatal heart attacks", US_national_yearly!$D:$AM, 10, FALSE), 1)</f>
        <v>9.8335584289509492E-6</v>
      </c>
      <c r="AB13" s="7">
        <f>$B13 * IFERROR(VLOOKUP("LULUCF|PM25|Non-fatal heart attacks", US_national_yearly!$D:$AM, 36, FALSE) / VLOOKUP("LULUCF|PM25|Non-fatal heart attacks", US_national_yearly!$D:$AM, 10, FALSE), 1)</f>
        <v>9.873108716884616E-6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7.2356752560616402E-3</v>
      </c>
      <c r="C14" s="7">
        <f>$B14 * IFERROR(VLOOKUP("LULUCF|PM25|Minor restricted activity days", US_national_yearly!$D:$AM, 11, FALSE) / VLOOKUP("LULUCF|PM25|Minor restricted activity days", US_national_yearly!$D:$AM, 10, FALSE), 1)</f>
        <v>7.2533456331220665E-3</v>
      </c>
      <c r="D14" s="7">
        <f>$B14 * IFERROR(VLOOKUP("LULUCF|PM25|Minor restricted activity days", US_national_yearly!$D:$AM, 12, FALSE) / VLOOKUP("LULUCF|PM25|Minor restricted activity days", US_national_yearly!$D:$AM, 10, FALSE), 1)</f>
        <v>7.2710160101824928E-3</v>
      </c>
      <c r="E14" s="7">
        <f>$B14 * IFERROR(VLOOKUP("LULUCF|PM25|Minor restricted activity days", US_national_yearly!$D:$AM, 13, FALSE) / VLOOKUP("LULUCF|PM25|Minor restricted activity days", US_national_yearly!$D:$AM, 10, FALSE), 1)</f>
        <v>7.2886863872429208E-3</v>
      </c>
      <c r="F14" s="7">
        <f>$B14 * IFERROR(VLOOKUP("LULUCF|PM25|Minor restricted activity days", US_national_yearly!$D:$AM, 14, FALSE) / VLOOKUP("LULUCF|PM25|Minor restricted activity days", US_national_yearly!$D:$AM, 10, FALSE), 1)</f>
        <v>7.3063567643033454E-3</v>
      </c>
      <c r="G14" s="7">
        <f>$B14 * IFERROR(VLOOKUP("LULUCF|PM25|Minor restricted activity days", US_national_yearly!$D:$AM, 15, FALSE) / VLOOKUP("LULUCF|PM25|Minor restricted activity days", US_national_yearly!$D:$AM, 10, FALSE), 1)</f>
        <v>7.3324288768274459E-3</v>
      </c>
      <c r="H14" s="7">
        <f>$B14 * IFERROR(VLOOKUP("LULUCF|PM25|Minor restricted activity days", US_national_yearly!$D:$AM, 16, FALSE) / VLOOKUP("LULUCF|PM25|Minor restricted activity days", US_national_yearly!$D:$AM, 10, FALSE), 1)</f>
        <v>7.3585009893515473E-3</v>
      </c>
      <c r="I14" s="7">
        <f>$B14 * IFERROR(VLOOKUP("LULUCF|PM25|Minor restricted activity days", US_national_yearly!$D:$AM, 17, FALSE) / VLOOKUP("LULUCF|PM25|Minor restricted activity days", US_national_yearly!$D:$AM, 10, FALSE), 1)</f>
        <v>7.4030723625869311E-3</v>
      </c>
      <c r="J14" s="7">
        <f>$B14 * IFERROR(VLOOKUP("LULUCF|PM25|Minor restricted activity days", US_national_yearly!$D:$AM, 18, FALSE) / VLOOKUP("LULUCF|PM25|Minor restricted activity days", US_national_yearly!$D:$AM, 10, FALSE), 1)</f>
        <v>7.4476437358223114E-3</v>
      </c>
      <c r="K14" s="7">
        <f>$B14 * IFERROR(VLOOKUP("LULUCF|PM25|Minor restricted activity days", US_national_yearly!$D:$AM, 19, FALSE) / VLOOKUP("LULUCF|PM25|Minor restricted activity days", US_national_yearly!$D:$AM, 10, FALSE), 1)</f>
        <v>7.4922151090576952E-3</v>
      </c>
      <c r="L14" s="7">
        <f>$B14 * IFERROR(VLOOKUP("LULUCF|PM25|Minor restricted activity days", US_national_yearly!$D:$AM, 20, FALSE) / VLOOKUP("LULUCF|PM25|Minor restricted activity days", US_national_yearly!$D:$AM, 10, FALSE), 1)</f>
        <v>7.5367864822930772E-3</v>
      </c>
      <c r="M14" s="7">
        <f>$B14 * IFERROR(VLOOKUP("LULUCF|PM25|Minor restricted activity days", US_national_yearly!$D:$AM, 21, FALSE) / VLOOKUP("LULUCF|PM25|Minor restricted activity days", US_national_yearly!$D:$AM, 10, FALSE), 1)</f>
        <v>7.5813578555284592E-3</v>
      </c>
      <c r="N14" s="7">
        <f>$B14 * IFERROR(VLOOKUP("LULUCF|PM25|Minor restricted activity days", US_national_yearly!$D:$AM, 22, FALSE) / VLOOKUP("LULUCF|PM25|Minor restricted activity days", US_national_yearly!$D:$AM, 10, FALSE), 1)</f>
        <v>7.6420729400196799E-3</v>
      </c>
      <c r="O14" s="7">
        <f>$B14 * IFERROR(VLOOKUP("LULUCF|PM25|Minor restricted activity days", US_national_yearly!$D:$AM, 23, FALSE) / VLOOKUP("LULUCF|PM25|Minor restricted activity days", US_national_yearly!$D:$AM, 10, FALSE), 1)</f>
        <v>7.7027880245108989E-3</v>
      </c>
      <c r="P14" s="7">
        <f>$B14 * IFERROR(VLOOKUP("LULUCF|PM25|Minor restricted activity days", US_national_yearly!$D:$AM, 24, FALSE) / VLOOKUP("LULUCF|PM25|Minor restricted activity days", US_national_yearly!$D:$AM, 10, FALSE), 1)</f>
        <v>7.7635031090021187E-3</v>
      </c>
      <c r="Q14" s="7">
        <f>$B14 * IFERROR(VLOOKUP("LULUCF|PM25|Minor restricted activity days", US_national_yearly!$D:$AM, 25, FALSE) / VLOOKUP("LULUCF|PM25|Minor restricted activity days", US_national_yearly!$D:$AM, 10, FALSE), 1)</f>
        <v>7.8242181934933368E-3</v>
      </c>
      <c r="R14" s="7">
        <f>$B14 * IFERROR(VLOOKUP("LULUCF|PM25|Minor restricted activity days", US_national_yearly!$D:$AM, 26, FALSE) / VLOOKUP("LULUCF|PM25|Minor restricted activity days", US_national_yearly!$D:$AM, 10, FALSE), 1)</f>
        <v>7.8849332779845557E-3</v>
      </c>
      <c r="S14" s="7">
        <f>$B14 * IFERROR(VLOOKUP("LULUCF|PM25|Minor restricted activity days", US_national_yearly!$D:$AM, 27, FALSE) / VLOOKUP("LULUCF|PM25|Minor restricted activity days", US_national_yearly!$D:$AM, 10, FALSE), 1)</f>
        <v>7.9460664873675837E-3</v>
      </c>
      <c r="T14" s="7">
        <f>$B14 * IFERROR(VLOOKUP("LULUCF|PM25|Minor restricted activity days", US_national_yearly!$D:$AM, 28, FALSE) / VLOOKUP("LULUCF|PM25|Minor restricted activity days", US_national_yearly!$D:$AM, 10, FALSE), 1)</f>
        <v>8.0071996967506134E-3</v>
      </c>
      <c r="U14" s="7">
        <f>$B14 * IFERROR(VLOOKUP("LULUCF|PM25|Minor restricted activity days", US_national_yearly!$D:$AM, 29, FALSE) / VLOOKUP("LULUCF|PM25|Minor restricted activity days", US_national_yearly!$D:$AM, 10, FALSE), 1)</f>
        <v>8.0683329061336413E-3</v>
      </c>
      <c r="V14" s="7">
        <f>$B14 * IFERROR(VLOOKUP("LULUCF|PM25|Minor restricted activity days", US_national_yearly!$D:$AM, 30, FALSE) / VLOOKUP("LULUCF|PM25|Minor restricted activity days", US_national_yearly!$D:$AM, 10, FALSE), 1)</f>
        <v>8.1294661155166693E-3</v>
      </c>
      <c r="W14" s="7">
        <f>$B14 * IFERROR(VLOOKUP("LULUCF|PM25|Minor restricted activity days", US_national_yearly!$D:$AM, 31, FALSE) / VLOOKUP("LULUCF|PM25|Minor restricted activity days", US_national_yearly!$D:$AM, 10, FALSE), 1)</f>
        <v>8.1905993248996972E-3</v>
      </c>
      <c r="X14" s="7">
        <f>$B14 * IFERROR(VLOOKUP("LULUCF|PM25|Minor restricted activity days", US_national_yearly!$D:$AM, 32, FALSE) / VLOOKUP("LULUCF|PM25|Minor restricted activity days", US_national_yearly!$D:$AM, 10, FALSE), 1)</f>
        <v>8.2436691007620432E-3</v>
      </c>
      <c r="Y14" s="7">
        <f>$B14 * IFERROR(VLOOKUP("LULUCF|PM25|Minor restricted activity days", US_national_yearly!$D:$AM, 33, FALSE) / VLOOKUP("LULUCF|PM25|Minor restricted activity days", US_national_yearly!$D:$AM, 10, FALSE), 1)</f>
        <v>8.2967388766243891E-3</v>
      </c>
      <c r="Z14" s="7">
        <f>$B14 * IFERROR(VLOOKUP("LULUCF|PM25|Minor restricted activity days", US_national_yearly!$D:$AM, 34, FALSE) / VLOOKUP("LULUCF|PM25|Minor restricted activity days", US_national_yearly!$D:$AM, 10, FALSE), 1)</f>
        <v>8.349808652486735E-3</v>
      </c>
      <c r="AA14" s="7">
        <f>$B14 * IFERROR(VLOOKUP("LULUCF|PM25|Minor restricted activity days", US_national_yearly!$D:$AM, 35, FALSE) / VLOOKUP("LULUCF|PM25|Minor restricted activity days", US_national_yearly!$D:$AM, 10, FALSE), 1)</f>
        <v>8.4028784283490775E-3</v>
      </c>
      <c r="AB14" s="7">
        <f>$B14 * IFERROR(VLOOKUP("LULUCF|PM25|Minor restricted activity days", US_national_yearly!$D:$AM, 36, FALSE) / VLOOKUP("LULUCF|PM25|Minor restricted activity days", US_national_yearly!$D:$AM, 10, FALSE), 1)</f>
        <v>8.4559482042114234E-3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1.2283755971803237E-3</v>
      </c>
      <c r="C15" s="7">
        <f>$B15 * IFERROR(VLOOKUP("LULUCF|PM25|Work loss days", US_national_yearly!$D:$AM, 11, FALSE) / VLOOKUP("LULUCF|PM25|Work loss days", US_national_yearly!$D:$AM, 10, FALSE), 1)</f>
        <v>1.232183119106567E-3</v>
      </c>
      <c r="D15" s="7">
        <f>$B15 * IFERROR(VLOOKUP("LULUCF|PM25|Work loss days", US_national_yearly!$D:$AM, 12, FALSE) / VLOOKUP("LULUCF|PM25|Work loss days", US_national_yearly!$D:$AM, 10, FALSE), 1)</f>
        <v>1.2359906410328106E-3</v>
      </c>
      <c r="E15" s="7">
        <f>$B15 * IFERROR(VLOOKUP("LULUCF|PM25|Work loss days", US_national_yearly!$D:$AM, 13, FALSE) / VLOOKUP("LULUCF|PM25|Work loss days", US_national_yearly!$D:$AM, 10, FALSE), 1)</f>
        <v>1.2397981629590537E-3</v>
      </c>
      <c r="F15" s="7">
        <f>$B15 * IFERROR(VLOOKUP("LULUCF|PM25|Work loss days", US_national_yearly!$D:$AM, 14, FALSE) / VLOOKUP("LULUCF|PM25|Work loss days", US_national_yearly!$D:$AM, 10, FALSE), 1)</f>
        <v>1.243605684885297E-3</v>
      </c>
      <c r="G15" s="7">
        <f>$B15 * IFERROR(VLOOKUP("LULUCF|PM25|Work loss days", US_national_yearly!$D:$AM, 15, FALSE) / VLOOKUP("LULUCF|PM25|Work loss days", US_national_yearly!$D:$AM, 10, FALSE), 1)</f>
        <v>1.2485975890922276E-3</v>
      </c>
      <c r="H15" s="7">
        <f>$B15 * IFERROR(VLOOKUP("LULUCF|PM25|Work loss days", US_national_yearly!$D:$AM, 16, FALSE) / VLOOKUP("LULUCF|PM25|Work loss days", US_national_yearly!$D:$AM, 10, FALSE), 1)</f>
        <v>1.2535894932991587E-3</v>
      </c>
      <c r="I15" s="7">
        <f>$B15 * IFERROR(VLOOKUP("LULUCF|PM25|Work loss days", US_national_yearly!$D:$AM, 17, FALSE) / VLOOKUP("LULUCF|PM25|Work loss days", US_national_yearly!$D:$AM, 10, FALSE), 1)</f>
        <v>1.2609406212779888E-3</v>
      </c>
      <c r="J15" s="7">
        <f>$B15 * IFERROR(VLOOKUP("LULUCF|PM25|Work loss days", US_national_yearly!$D:$AM, 18, FALSE) / VLOOKUP("LULUCF|PM25|Work loss days", US_national_yearly!$D:$AM, 10, FALSE), 1)</f>
        <v>1.2682917492568191E-3</v>
      </c>
      <c r="K15" s="7">
        <f>$B15 * IFERROR(VLOOKUP("LULUCF|PM25|Work loss days", US_national_yearly!$D:$AM, 19, FALSE) / VLOOKUP("LULUCF|PM25|Work loss days", US_national_yearly!$D:$AM, 10, FALSE), 1)</f>
        <v>1.2756428772356491E-3</v>
      </c>
      <c r="L15" s="7">
        <f>$B15 * IFERROR(VLOOKUP("LULUCF|PM25|Work loss days", US_national_yearly!$D:$AM, 20, FALSE) / VLOOKUP("LULUCF|PM25|Work loss days", US_national_yearly!$D:$AM, 10, FALSE), 1)</f>
        <v>1.2829940052144792E-3</v>
      </c>
      <c r="M15" s="7">
        <f>$B15 * IFERROR(VLOOKUP("LULUCF|PM25|Work loss days", US_national_yearly!$D:$AM, 21, FALSE) / VLOOKUP("LULUCF|PM25|Work loss days", US_national_yearly!$D:$AM, 10, FALSE), 1)</f>
        <v>1.2903451331933093E-3</v>
      </c>
      <c r="N15" s="7">
        <f>$B15 * IFERROR(VLOOKUP("LULUCF|PM25|Work loss days", US_national_yearly!$D:$AM, 22, FALSE) / VLOOKUP("LULUCF|PM25|Work loss days", US_national_yearly!$D:$AM, 10, FALSE), 1)</f>
        <v>1.2995970841527301E-3</v>
      </c>
      <c r="O15" s="7">
        <f>$B15 * IFERROR(VLOOKUP("LULUCF|PM25|Work loss days", US_national_yearly!$D:$AM, 23, FALSE) / VLOOKUP("LULUCF|PM25|Work loss days", US_national_yearly!$D:$AM, 10, FALSE), 1)</f>
        <v>1.308849035112151E-3</v>
      </c>
      <c r="P15" s="7">
        <f>$B15 * IFERROR(VLOOKUP("LULUCF|PM25|Work loss days", US_national_yearly!$D:$AM, 24, FALSE) / VLOOKUP("LULUCF|PM25|Work loss days", US_national_yearly!$D:$AM, 10, FALSE), 1)</f>
        <v>1.3181009860715718E-3</v>
      </c>
      <c r="Q15" s="7">
        <f>$B15 * IFERROR(VLOOKUP("LULUCF|PM25|Work loss days", US_national_yearly!$D:$AM, 25, FALSE) / VLOOKUP("LULUCF|PM25|Work loss days", US_national_yearly!$D:$AM, 10, FALSE), 1)</f>
        <v>1.3273529370309927E-3</v>
      </c>
      <c r="R15" s="7">
        <f>$B15 * IFERROR(VLOOKUP("LULUCF|PM25|Work loss days", US_national_yearly!$D:$AM, 26, FALSE) / VLOOKUP("LULUCF|PM25|Work loss days", US_national_yearly!$D:$AM, 10, FALSE), 1)</f>
        <v>1.3366048879904138E-3</v>
      </c>
      <c r="S15" s="7">
        <f>$B15 * IFERROR(VLOOKUP("LULUCF|PM25|Work loss days", US_national_yearly!$D:$AM, 27, FALSE) / VLOOKUP("LULUCF|PM25|Work loss days", US_national_yearly!$D:$AM, 10, FALSE), 1)</f>
        <v>1.3468379407492674E-3</v>
      </c>
      <c r="T15" s="7">
        <f>$B15 * IFERROR(VLOOKUP("LULUCF|PM25|Work loss days", US_national_yearly!$D:$AM, 28, FALSE) / VLOOKUP("LULUCF|PM25|Work loss days", US_national_yearly!$D:$AM, 10, FALSE), 1)</f>
        <v>1.3570709935081214E-3</v>
      </c>
      <c r="U15" s="7">
        <f>$B15 * IFERROR(VLOOKUP("LULUCF|PM25|Work loss days", US_national_yearly!$D:$AM, 29, FALSE) / VLOOKUP("LULUCF|PM25|Work loss days", US_national_yearly!$D:$AM, 10, FALSE), 1)</f>
        <v>1.367304046266975E-3</v>
      </c>
      <c r="V15" s="7">
        <f>$B15 * IFERROR(VLOOKUP("LULUCF|PM25|Work loss days", US_national_yearly!$D:$AM, 30, FALSE) / VLOOKUP("LULUCF|PM25|Work loss days", US_national_yearly!$D:$AM, 10, FALSE), 1)</f>
        <v>1.3775370990258291E-3</v>
      </c>
      <c r="W15" s="7">
        <f>$B15 * IFERROR(VLOOKUP("LULUCF|PM25|Work loss days", US_national_yearly!$D:$AM, 31, FALSE) / VLOOKUP("LULUCF|PM25|Work loss days", US_national_yearly!$D:$AM, 10, FALSE), 1)</f>
        <v>1.3877701517846829E-3</v>
      </c>
      <c r="X15" s="7">
        <f>$B15 * IFERROR(VLOOKUP("LULUCF|PM25|Work loss days", US_national_yearly!$D:$AM, 32, FALSE) / VLOOKUP("LULUCF|PM25|Work loss days", US_national_yearly!$D:$AM, 10, FALSE), 1)</f>
        <v>1.3968496294731834E-3</v>
      </c>
      <c r="Y15" s="7">
        <f>$B15 * IFERROR(VLOOKUP("LULUCF|PM25|Work loss days", US_national_yearly!$D:$AM, 33, FALSE) / VLOOKUP("LULUCF|PM25|Work loss days", US_national_yearly!$D:$AM, 10, FALSE), 1)</f>
        <v>1.4059291071616838E-3</v>
      </c>
      <c r="Z15" s="7">
        <f>$B15 * IFERROR(VLOOKUP("LULUCF|PM25|Work loss days", US_national_yearly!$D:$AM, 34, FALSE) / VLOOKUP("LULUCF|PM25|Work loss days", US_national_yearly!$D:$AM, 10, FALSE), 1)</f>
        <v>1.4150085848501845E-3</v>
      </c>
      <c r="AA15" s="7">
        <f>$B15 * IFERROR(VLOOKUP("LULUCF|PM25|Work loss days", US_national_yearly!$D:$AM, 35, FALSE) / VLOOKUP("LULUCF|PM25|Work loss days", US_national_yearly!$D:$AM, 10, FALSE), 1)</f>
        <v>1.4240880625386852E-3</v>
      </c>
      <c r="AB15" s="7">
        <f>$B15 * IFERROR(VLOOKUP("LULUCF|PM25|Work loss days", US_national_yearly!$D:$AM, 36, FALSE) / VLOOKUP("LULUCF|PM25|Work loss days", US_national_yearly!$D:$AM, 10, FALSE), 1)</f>
        <v>1.4331675402271856E-3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1.5247952457543913E-6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1.5703571909629595E-6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1.6159191361715282E-6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1.6614810813800967E-6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1.7070430265886654E-6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1.7506832315162542E-6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1.7943234364438438E-6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1.8316469356412148E-6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1.8689704348385852E-6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1.9062939340359558E-6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1.943617433233327E-6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1.9809409324306978E-6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2.0058253614908284E-6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2.0307097905509594E-6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2.0555942196110904E-6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2.0804786486712214E-6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2.105363077731352E-6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2.1185292639410537E-6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2.1316954501507546E-6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2.1448616363604555E-6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2.1580278225701568E-6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2.1711940087798577E-6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2.1800576585238488E-6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2.1889213082678396E-6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2.1977849580118303E-6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2.2066486077558211E-6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2.2155122574998118E-6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2.1905655147237538E-5</v>
      </c>
      <c r="C2" s="7">
        <f>$B2 * IFERROR(VLOOKUP("LULUCF|NOx|Premature mortality", US_national_yearly!$D:$AM, 11, FALSE) / VLOOKUP("LULUCF|NOx|Premature mortality", US_national_yearly!$D:$AM, 10, FALSE), 1)</f>
        <v>2.2227412195245153E-5</v>
      </c>
      <c r="D2" s="7">
        <f>$B2 * IFERROR(VLOOKUP("LULUCF|NOx|Premature mortality", US_national_yearly!$D:$AM, 12, FALSE) / VLOOKUP("LULUCF|NOx|Premature mortality", US_national_yearly!$D:$AM, 10, FALSE), 1)</f>
        <v>2.2549169243252761E-5</v>
      </c>
      <c r="E2" s="7">
        <f>$B2 * IFERROR(VLOOKUP("LULUCF|NOx|Premature mortality", US_national_yearly!$D:$AM, 13, FALSE) / VLOOKUP("LULUCF|NOx|Premature mortality", US_national_yearly!$D:$AM, 10, FALSE), 1)</f>
        <v>2.2870926291260376E-5</v>
      </c>
      <c r="F2" s="7">
        <f>$B2 * IFERROR(VLOOKUP("LULUCF|NOx|Premature mortality", US_national_yearly!$D:$AM, 14, FALSE) / VLOOKUP("LULUCF|NOx|Premature mortality", US_national_yearly!$D:$AM, 10, FALSE), 1)</f>
        <v>2.3192683339267987E-5</v>
      </c>
      <c r="G2" s="7">
        <f>$B2 * IFERROR(VLOOKUP("LULUCF|NOx|Premature mortality", US_national_yearly!$D:$AM, 15, FALSE) / VLOOKUP("LULUCF|NOx|Premature mortality", US_national_yearly!$D:$AM, 10, FALSE), 1)</f>
        <v>2.3770635068643721E-5</v>
      </c>
      <c r="H2" s="7">
        <f>$B2 * IFERROR(VLOOKUP("LULUCF|NOx|Premature mortality", US_national_yearly!$D:$AM, 16, FALSE) / VLOOKUP("LULUCF|NOx|Premature mortality", US_national_yearly!$D:$AM, 10, FALSE), 1)</f>
        <v>2.4348586798019465E-5</v>
      </c>
      <c r="I2" s="7">
        <f>$B2 * IFERROR(VLOOKUP("LULUCF|NOx|Premature mortality", US_national_yearly!$D:$AM, 17, FALSE) / VLOOKUP("LULUCF|NOx|Premature mortality", US_national_yearly!$D:$AM, 10, FALSE), 1)</f>
        <v>2.4721665602286899E-5</v>
      </c>
      <c r="J2" s="7">
        <f>$B2 * IFERROR(VLOOKUP("LULUCF|NOx|Premature mortality", US_national_yearly!$D:$AM, 18, FALSE) / VLOOKUP("LULUCF|NOx|Premature mortality", US_national_yearly!$D:$AM, 10, FALSE), 1)</f>
        <v>2.509474440655434E-5</v>
      </c>
      <c r="K2" s="7">
        <f>$B2 * IFERROR(VLOOKUP("LULUCF|NOx|Premature mortality", US_national_yearly!$D:$AM, 19, FALSE) / VLOOKUP("LULUCF|NOx|Premature mortality", US_national_yearly!$D:$AM, 10, FALSE), 1)</f>
        <v>2.5467823210821777E-5</v>
      </c>
      <c r="L2" s="7">
        <f>$B2 * IFERROR(VLOOKUP("LULUCF|NOx|Premature mortality", US_national_yearly!$D:$AM, 20, FALSE) / VLOOKUP("LULUCF|NOx|Premature mortality", US_national_yearly!$D:$AM, 10, FALSE), 1)</f>
        <v>2.5840902015089212E-5</v>
      </c>
      <c r="M2" s="7">
        <f>$B2 * IFERROR(VLOOKUP("LULUCF|NOx|Premature mortality", US_national_yearly!$D:$AM, 21, FALSE) / VLOOKUP("LULUCF|NOx|Premature mortality", US_national_yearly!$D:$AM, 10, FALSE), 1)</f>
        <v>2.6213980819356653E-5</v>
      </c>
      <c r="N2" s="7">
        <f>$B2 * IFERROR(VLOOKUP("LULUCF|NOx|Premature mortality", US_national_yearly!$D:$AM, 22, FALSE) / VLOOKUP("LULUCF|NOx|Premature mortality", US_national_yearly!$D:$AM, 10, FALSE), 1)</f>
        <v>2.6490356147197815E-5</v>
      </c>
      <c r="O2" s="7">
        <f>$B2 * IFERROR(VLOOKUP("LULUCF|NOx|Premature mortality", US_national_yearly!$D:$AM, 23, FALSE) / VLOOKUP("LULUCF|NOx|Premature mortality", US_national_yearly!$D:$AM, 10, FALSE), 1)</f>
        <v>2.6766731475038978E-5</v>
      </c>
      <c r="P2" s="7">
        <f>$B2 * IFERROR(VLOOKUP("LULUCF|NOx|Premature mortality", US_national_yearly!$D:$AM, 24, FALSE) / VLOOKUP("LULUCF|NOx|Premature mortality", US_national_yearly!$D:$AM, 10, FALSE), 1)</f>
        <v>2.704310680288014E-5</v>
      </c>
      <c r="Q2" s="7">
        <f>$B2 * IFERROR(VLOOKUP("LULUCF|NOx|Premature mortality", US_national_yearly!$D:$AM, 25, FALSE) / VLOOKUP("LULUCF|NOx|Premature mortality", US_national_yearly!$D:$AM, 10, FALSE), 1)</f>
        <v>2.731948213072131E-5</v>
      </c>
      <c r="R2" s="7">
        <f>$B2 * IFERROR(VLOOKUP("LULUCF|NOx|Premature mortality", US_national_yearly!$D:$AM, 26, FALSE) / VLOOKUP("LULUCF|NOx|Premature mortality", US_national_yearly!$D:$AM, 10, FALSE), 1)</f>
        <v>2.7595857458562472E-5</v>
      </c>
      <c r="S2" s="7">
        <f>$B2 * IFERROR(VLOOKUP("LULUCF|NOx|Premature mortality", US_national_yearly!$D:$AM, 27, FALSE) / VLOOKUP("LULUCF|NOx|Premature mortality", US_national_yearly!$D:$AM, 10, FALSE), 1)</f>
        <v>2.7721472828128848E-5</v>
      </c>
      <c r="T2" s="7">
        <f>$B2 * IFERROR(VLOOKUP("LULUCF|NOx|Premature mortality", US_national_yearly!$D:$AM, 28, FALSE) / VLOOKUP("LULUCF|NOx|Premature mortality", US_national_yearly!$D:$AM, 10, FALSE), 1)</f>
        <v>2.7847088197695227E-5</v>
      </c>
      <c r="U2" s="7">
        <f>$B2 * IFERROR(VLOOKUP("LULUCF|NOx|Premature mortality", US_national_yearly!$D:$AM, 29, FALSE) / VLOOKUP("LULUCF|NOx|Premature mortality", US_national_yearly!$D:$AM, 10, FALSE), 1)</f>
        <v>2.7972703567261603E-5</v>
      </c>
      <c r="V2" s="7">
        <f>$B2 * IFERROR(VLOOKUP("LULUCF|NOx|Premature mortality", US_national_yearly!$D:$AM, 30, FALSE) / VLOOKUP("LULUCF|NOx|Premature mortality", US_national_yearly!$D:$AM, 10, FALSE), 1)</f>
        <v>2.8098318936827978E-5</v>
      </c>
      <c r="W2" s="7">
        <f>$B2 * IFERROR(VLOOKUP("LULUCF|NOx|Premature mortality", US_national_yearly!$D:$AM, 31, FALSE) / VLOOKUP("LULUCF|NOx|Premature mortality", US_national_yearly!$D:$AM, 10, FALSE), 1)</f>
        <v>2.8223934306394357E-5</v>
      </c>
      <c r="X2" s="7">
        <f>$B2 * IFERROR(VLOOKUP("LULUCF|NOx|Premature mortality", US_national_yearly!$D:$AM, 32, FALSE) / VLOOKUP("LULUCF|NOx|Premature mortality", US_national_yearly!$D:$AM, 10, FALSE), 1)</f>
        <v>2.8228285550692339E-5</v>
      </c>
      <c r="Y2" s="7">
        <f>$B2 * IFERROR(VLOOKUP("LULUCF|NOx|Premature mortality", US_national_yearly!$D:$AM, 33, FALSE) / VLOOKUP("LULUCF|NOx|Premature mortality", US_national_yearly!$D:$AM, 10, FALSE), 1)</f>
        <v>2.8232636794990318E-5</v>
      </c>
      <c r="Z2" s="7">
        <f>$B2 * IFERROR(VLOOKUP("LULUCF|NOx|Premature mortality", US_national_yearly!$D:$AM, 34, FALSE) / VLOOKUP("LULUCF|NOx|Premature mortality", US_national_yearly!$D:$AM, 10, FALSE), 1)</f>
        <v>2.8236988039288293E-5</v>
      </c>
      <c r="AA2" s="7">
        <f>$B2 * IFERROR(VLOOKUP("LULUCF|NOx|Premature mortality", US_national_yearly!$D:$AM, 35, FALSE) / VLOOKUP("LULUCF|NOx|Premature mortality", US_national_yearly!$D:$AM, 10, FALSE), 1)</f>
        <v>2.8241339283586279E-5</v>
      </c>
      <c r="AB2" s="7">
        <f>$B2 * IFERROR(VLOOKUP("LULUCF|NOx|Premature mortality", US_national_yearly!$D:$AM, 36, FALSE) / VLOOKUP("LULUCF|NOx|Premature mortality", US_national_yearly!$D:$AM, 10, FALSE), 1)</f>
        <v>2.8245690527884261E-5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5.6708508720691813E-8</v>
      </c>
      <c r="C3" s="7">
        <f>$B3 * IFERROR(VLOOKUP("LULUCF|NOx|Infant mortality", US_national_yearly!$D:$AM, 11, FALSE) / VLOOKUP("LULUCF|NOx|Infant mortality", US_national_yearly!$D:$AM, 10, FALSE), 1)</f>
        <v>5.6168215672631698E-8</v>
      </c>
      <c r="D3" s="7">
        <f>$B3 * IFERROR(VLOOKUP("LULUCF|NOx|Infant mortality", US_national_yearly!$D:$AM, 12, FALSE) / VLOOKUP("LULUCF|NOx|Infant mortality", US_national_yearly!$D:$AM, 10, FALSE), 1)</f>
        <v>5.5627922624571577E-8</v>
      </c>
      <c r="E3" s="7">
        <f>$B3 * IFERROR(VLOOKUP("LULUCF|NOx|Infant mortality", US_national_yearly!$D:$AM, 13, FALSE) / VLOOKUP("LULUCF|NOx|Infant mortality", US_national_yearly!$D:$AM, 10, FALSE), 1)</f>
        <v>5.508762957651147E-8</v>
      </c>
      <c r="F3" s="7">
        <f>$B3 * IFERROR(VLOOKUP("LULUCF|NOx|Infant mortality", US_national_yearly!$D:$AM, 14, FALSE) / VLOOKUP("LULUCF|NOx|Infant mortality", US_national_yearly!$D:$AM, 10, FALSE), 1)</f>
        <v>5.4547336528451355E-8</v>
      </c>
      <c r="G3" s="7">
        <f>$B3 * IFERROR(VLOOKUP("LULUCF|NOx|Infant mortality", US_national_yearly!$D:$AM, 15, FALSE) / VLOOKUP("LULUCF|NOx|Infant mortality", US_national_yearly!$D:$AM, 10, FALSE), 1)</f>
        <v>3.6211215588664398E-8</v>
      </c>
      <c r="H3" s="7">
        <f>$B3 * IFERROR(VLOOKUP("LULUCF|NOx|Infant mortality", US_national_yearly!$D:$AM, 16, FALSE) / VLOOKUP("LULUCF|NOx|Infant mortality", US_national_yearly!$D:$AM, 10, FALSE), 1)</f>
        <v>1.7875094648877447E-8</v>
      </c>
      <c r="I3" s="7">
        <f>$B3 * IFERROR(VLOOKUP("LULUCF|NOx|Infant mortality", US_national_yearly!$D:$AM, 17, FALSE) / VLOOKUP("LULUCF|NOx|Infant mortality", US_national_yearly!$D:$AM, 10, FALSE), 1)</f>
        <v>1.7748700662499963E-8</v>
      </c>
      <c r="J3" s="7">
        <f>$B3 * IFERROR(VLOOKUP("LULUCF|NOx|Infant mortality", US_national_yearly!$D:$AM, 18, FALSE) / VLOOKUP("LULUCF|NOx|Infant mortality", US_national_yearly!$D:$AM, 10, FALSE), 1)</f>
        <v>1.7622306676122479E-8</v>
      </c>
      <c r="K3" s="7">
        <f>$B3 * IFERROR(VLOOKUP("LULUCF|NOx|Infant mortality", US_national_yearly!$D:$AM, 19, FALSE) / VLOOKUP("LULUCF|NOx|Infant mortality", US_national_yearly!$D:$AM, 10, FALSE), 1)</f>
        <v>1.7495912689744996E-8</v>
      </c>
      <c r="L3" s="7">
        <f>$B3 * IFERROR(VLOOKUP("LULUCF|NOx|Infant mortality", US_national_yearly!$D:$AM, 20, FALSE) / VLOOKUP("LULUCF|NOx|Infant mortality", US_national_yearly!$D:$AM, 10, FALSE), 1)</f>
        <v>1.7369518703367515E-8</v>
      </c>
      <c r="M3" s="7">
        <f>$B3 * IFERROR(VLOOKUP("LULUCF|NOx|Infant mortality", US_national_yearly!$D:$AM, 21, FALSE) / VLOOKUP("LULUCF|NOx|Infant mortality", US_national_yearly!$D:$AM, 10, FALSE), 1)</f>
        <v>1.7243124716990028E-8</v>
      </c>
      <c r="N3" s="7">
        <f>$B3 * IFERROR(VLOOKUP("LULUCF|NOx|Infant mortality", US_national_yearly!$D:$AM, 22, FALSE) / VLOOKUP("LULUCF|NOx|Infant mortality", US_national_yearly!$D:$AM, 10, FALSE), 1)</f>
        <v>1.7159229673679266E-8</v>
      </c>
      <c r="O3" s="7">
        <f>$B3 * IFERROR(VLOOKUP("LULUCF|NOx|Infant mortality", US_national_yearly!$D:$AM, 23, FALSE) / VLOOKUP("LULUCF|NOx|Infant mortality", US_national_yearly!$D:$AM, 10, FALSE), 1)</f>
        <v>1.7075334630368507E-8</v>
      </c>
      <c r="P3" s="7">
        <f>$B3 * IFERROR(VLOOKUP("LULUCF|NOx|Infant mortality", US_national_yearly!$D:$AM, 24, FALSE) / VLOOKUP("LULUCF|NOx|Infant mortality", US_national_yearly!$D:$AM, 10, FALSE), 1)</f>
        <v>1.6991439587057744E-8</v>
      </c>
      <c r="Q3" s="7">
        <f>$B3 * IFERROR(VLOOKUP("LULUCF|NOx|Infant mortality", US_national_yearly!$D:$AM, 25, FALSE) / VLOOKUP("LULUCF|NOx|Infant mortality", US_national_yearly!$D:$AM, 10, FALSE), 1)</f>
        <v>1.6907544543746982E-8</v>
      </c>
      <c r="R3" s="7">
        <f>$B3 * IFERROR(VLOOKUP("LULUCF|NOx|Infant mortality", US_national_yearly!$D:$AM, 26, FALSE) / VLOOKUP("LULUCF|NOx|Infant mortality", US_national_yearly!$D:$AM, 10, FALSE), 1)</f>
        <v>1.6823649500436223E-8</v>
      </c>
      <c r="S3" s="7">
        <f>$B3 * IFERROR(VLOOKUP("LULUCF|NOx|Infant mortality", US_national_yearly!$D:$AM, 27, FALSE) / VLOOKUP("LULUCF|NOx|Infant mortality", US_national_yearly!$D:$AM, 10, FALSE), 1)</f>
        <v>1.672279431706594E-8</v>
      </c>
      <c r="T3" s="7">
        <f>$B3 * IFERROR(VLOOKUP("LULUCF|NOx|Infant mortality", US_national_yearly!$D:$AM, 28, FALSE) / VLOOKUP("LULUCF|NOx|Infant mortality", US_national_yearly!$D:$AM, 10, FALSE), 1)</f>
        <v>1.6621939133695656E-8</v>
      </c>
      <c r="U3" s="7">
        <f>$B3 * IFERROR(VLOOKUP("LULUCF|NOx|Infant mortality", US_national_yearly!$D:$AM, 29, FALSE) / VLOOKUP("LULUCF|NOx|Infant mortality", US_national_yearly!$D:$AM, 10, FALSE), 1)</f>
        <v>1.6521083950325372E-8</v>
      </c>
      <c r="V3" s="7">
        <f>$B3 * IFERROR(VLOOKUP("LULUCF|NOx|Infant mortality", US_national_yearly!$D:$AM, 30, FALSE) / VLOOKUP("LULUCF|NOx|Infant mortality", US_national_yearly!$D:$AM, 10, FALSE), 1)</f>
        <v>1.6420228766955088E-8</v>
      </c>
      <c r="W3" s="7">
        <f>$B3 * IFERROR(VLOOKUP("LULUCF|NOx|Infant mortality", US_national_yearly!$D:$AM, 31, FALSE) / VLOOKUP("LULUCF|NOx|Infant mortality", US_national_yearly!$D:$AM, 10, FALSE), 1)</f>
        <v>1.6319373583584805E-8</v>
      </c>
      <c r="X3" s="7">
        <f>$B3 * IFERROR(VLOOKUP("LULUCF|NOx|Infant mortality", US_national_yearly!$D:$AM, 32, FALSE) / VLOOKUP("LULUCF|NOx|Infant mortality", US_national_yearly!$D:$AM, 10, FALSE), 1)</f>
        <v>1.6212563067238065E-8</v>
      </c>
      <c r="Y3" s="7">
        <f>$B3 * IFERROR(VLOOKUP("LULUCF|NOx|Infant mortality", US_national_yearly!$D:$AM, 33, FALSE) / VLOOKUP("LULUCF|NOx|Infant mortality", US_national_yearly!$D:$AM, 10, FALSE), 1)</f>
        <v>1.6105752550891325E-8</v>
      </c>
      <c r="Z3" s="7">
        <f>$B3 * IFERROR(VLOOKUP("LULUCF|NOx|Infant mortality", US_national_yearly!$D:$AM, 34, FALSE) / VLOOKUP("LULUCF|NOx|Infant mortality", US_national_yearly!$D:$AM, 10, FALSE), 1)</f>
        <v>1.5998942034544582E-8</v>
      </c>
      <c r="AA3" s="7">
        <f>$B3 * IFERROR(VLOOKUP("LULUCF|NOx|Infant mortality", US_national_yearly!$D:$AM, 35, FALSE) / VLOOKUP("LULUCF|NOx|Infant mortality", US_national_yearly!$D:$AM, 10, FALSE), 1)</f>
        <v>1.5892131518197839E-8</v>
      </c>
      <c r="AB3" s="7">
        <f>$B3 * IFERROR(VLOOKUP("LULUCF|NOx|Infant mortality", US_national_yearly!$D:$AM, 36, FALSE) / VLOOKUP("LULUCF|NOx|Infant mortality", US_national_yearly!$D:$AM, 10, FALSE), 1)</f>
        <v>1.57853210018511E-8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6.6932235145250455E-5</v>
      </c>
      <c r="C6" s="7">
        <f>$B6 * IFERROR(VLOOKUP("LULUCF|NOx|Asthma symptoms cough", US_national_yearly!$D:$AM, 11, FALSE) / VLOOKUP("LULUCF|NOx|Asthma symptoms cough", US_national_yearly!$D:$AM, 10, FALSE), 1)</f>
        <v>6.7847308229558755E-5</v>
      </c>
      <c r="D6" s="7">
        <f>$B6 * IFERROR(VLOOKUP("LULUCF|NOx|Asthma symptoms cough", US_national_yearly!$D:$AM, 12, FALSE) / VLOOKUP("LULUCF|NOx|Asthma symptoms cough", US_national_yearly!$D:$AM, 10, FALSE), 1)</f>
        <v>6.8762381313867041E-5</v>
      </c>
      <c r="E6" s="7">
        <f>$B6 * IFERROR(VLOOKUP("LULUCF|NOx|Asthma symptoms cough", US_national_yearly!$D:$AM, 13, FALSE) / VLOOKUP("LULUCF|NOx|Asthma symptoms cough", US_national_yearly!$D:$AM, 10, FALSE), 1)</f>
        <v>6.9677454398175341E-5</v>
      </c>
      <c r="F6" s="7">
        <f>$B6 * IFERROR(VLOOKUP("LULUCF|NOx|Asthma symptoms cough", US_national_yearly!$D:$AM, 14, FALSE) / VLOOKUP("LULUCF|NOx|Asthma symptoms cough", US_national_yearly!$D:$AM, 10, FALSE), 1)</f>
        <v>7.0592527482483627E-5</v>
      </c>
      <c r="G6" s="7">
        <f>$B6 * IFERROR(VLOOKUP("LULUCF|NOx|Asthma symptoms cough", US_national_yearly!$D:$AM, 15, FALSE) / VLOOKUP("LULUCF|NOx|Asthma symptoms cough", US_national_yearly!$D:$AM, 10, FALSE), 1)</f>
        <v>7.1323085467479307E-5</v>
      </c>
      <c r="H6" s="7">
        <f>$B6 * IFERROR(VLOOKUP("LULUCF|NOx|Asthma symptoms cough", US_national_yearly!$D:$AM, 16, FALSE) / VLOOKUP("LULUCF|NOx|Asthma symptoms cough", US_national_yearly!$D:$AM, 10, FALSE), 1)</f>
        <v>7.2053643452474987E-5</v>
      </c>
      <c r="I6" s="7">
        <f>$B6 * IFERROR(VLOOKUP("LULUCF|NOx|Asthma symptoms cough", US_national_yearly!$D:$AM, 17, FALSE) / VLOOKUP("LULUCF|NOx|Asthma symptoms cough", US_national_yearly!$D:$AM, 10, FALSE), 1)</f>
        <v>7.2305091067035226E-5</v>
      </c>
      <c r="J6" s="7">
        <f>$B6 * IFERROR(VLOOKUP("LULUCF|NOx|Asthma symptoms cough", US_national_yearly!$D:$AM, 18, FALSE) / VLOOKUP("LULUCF|NOx|Asthma symptoms cough", US_national_yearly!$D:$AM, 10, FALSE), 1)</f>
        <v>7.2556538681595493E-5</v>
      </c>
      <c r="K6" s="7">
        <f>$B6 * IFERROR(VLOOKUP("LULUCF|NOx|Asthma symptoms cough", US_national_yearly!$D:$AM, 19, FALSE) / VLOOKUP("LULUCF|NOx|Asthma symptoms cough", US_national_yearly!$D:$AM, 10, FALSE), 1)</f>
        <v>7.2807986296155732E-5</v>
      </c>
      <c r="L6" s="7">
        <f>$B6 * IFERROR(VLOOKUP("LULUCF|NOx|Asthma symptoms cough", US_national_yearly!$D:$AM, 20, FALSE) / VLOOKUP("LULUCF|NOx|Asthma symptoms cough", US_national_yearly!$D:$AM, 10, FALSE), 1)</f>
        <v>7.3059433910715972E-5</v>
      </c>
      <c r="M6" s="7">
        <f>$B6 * IFERROR(VLOOKUP("LULUCF|NOx|Asthma symptoms cough", US_national_yearly!$D:$AM, 21, FALSE) / VLOOKUP("LULUCF|NOx|Asthma symptoms cough", US_national_yearly!$D:$AM, 10, FALSE), 1)</f>
        <v>7.3310881525276225E-5</v>
      </c>
      <c r="N6" s="7">
        <f>$B6 * IFERROR(VLOOKUP("LULUCF|NOx|Asthma symptoms cough", US_national_yearly!$D:$AM, 22, FALSE) / VLOOKUP("LULUCF|NOx|Asthma symptoms cough", US_national_yearly!$D:$AM, 10, FALSE), 1)</f>
        <v>7.3602453758976131E-5</v>
      </c>
      <c r="O6" s="7">
        <f>$B6 * IFERROR(VLOOKUP("LULUCF|NOx|Asthma symptoms cough", US_national_yearly!$D:$AM, 23, FALSE) / VLOOKUP("LULUCF|NOx|Asthma symptoms cough", US_national_yearly!$D:$AM, 10, FALSE), 1)</f>
        <v>7.3894025992676037E-5</v>
      </c>
      <c r="P6" s="7">
        <f>$B6 * IFERROR(VLOOKUP("LULUCF|NOx|Asthma symptoms cough", US_national_yearly!$D:$AM, 24, FALSE) / VLOOKUP("LULUCF|NOx|Asthma symptoms cough", US_national_yearly!$D:$AM, 10, FALSE), 1)</f>
        <v>7.4185598226375957E-5</v>
      </c>
      <c r="Q6" s="7">
        <f>$B6 * IFERROR(VLOOKUP("LULUCF|NOx|Asthma symptoms cough", US_national_yearly!$D:$AM, 25, FALSE) / VLOOKUP("LULUCF|NOx|Asthma symptoms cough", US_national_yearly!$D:$AM, 10, FALSE), 1)</f>
        <v>7.4477170460075876E-5</v>
      </c>
      <c r="R6" s="7">
        <f>$B6 * IFERROR(VLOOKUP("LULUCF|NOx|Asthma symptoms cough", US_national_yearly!$D:$AM, 26, FALSE) / VLOOKUP("LULUCF|NOx|Asthma symptoms cough", US_national_yearly!$D:$AM, 10, FALSE), 1)</f>
        <v>7.4768742693775782E-5</v>
      </c>
      <c r="S6" s="7">
        <f>$B6 * IFERROR(VLOOKUP("LULUCF|NOx|Asthma symptoms cough", US_national_yearly!$D:$AM, 27, FALSE) / VLOOKUP("LULUCF|NOx|Asthma symptoms cough", US_national_yearly!$D:$AM, 10, FALSE), 1)</f>
        <v>7.5149628896056185E-5</v>
      </c>
      <c r="T6" s="7">
        <f>$B6 * IFERROR(VLOOKUP("LULUCF|NOx|Asthma symptoms cough", US_national_yearly!$D:$AM, 28, FALSE) / VLOOKUP("LULUCF|NOx|Asthma symptoms cough", US_national_yearly!$D:$AM, 10, FALSE), 1)</f>
        <v>7.553051509833656E-5</v>
      </c>
      <c r="U6" s="7">
        <f>$B6 * IFERROR(VLOOKUP("LULUCF|NOx|Asthma symptoms cough", US_national_yearly!$D:$AM, 29, FALSE) / VLOOKUP("LULUCF|NOx|Asthma symptoms cough", US_national_yearly!$D:$AM, 10, FALSE), 1)</f>
        <v>7.5911401300616922E-5</v>
      </c>
      <c r="V6" s="7">
        <f>$B6 * IFERROR(VLOOKUP("LULUCF|NOx|Asthma symptoms cough", US_national_yearly!$D:$AM, 30, FALSE) / VLOOKUP("LULUCF|NOx|Asthma symptoms cough", US_national_yearly!$D:$AM, 10, FALSE), 1)</f>
        <v>7.6292287502897324E-5</v>
      </c>
      <c r="W6" s="7">
        <f>$B6 * IFERROR(VLOOKUP("LULUCF|NOx|Asthma symptoms cough", US_national_yearly!$D:$AM, 31, FALSE) / VLOOKUP("LULUCF|NOx|Asthma symptoms cough", US_national_yearly!$D:$AM, 10, FALSE), 1)</f>
        <v>7.6673173705177699E-5</v>
      </c>
      <c r="X6" s="7">
        <f>$B6 * IFERROR(VLOOKUP("LULUCF|NOx|Asthma symptoms cough", US_national_yearly!$D:$AM, 32, FALSE) / VLOOKUP("LULUCF|NOx|Asthma symptoms cough", US_national_yearly!$D:$AM, 10, FALSE), 1)</f>
        <v>7.7027071714938763E-5</v>
      </c>
      <c r="Y6" s="7">
        <f>$B6 * IFERROR(VLOOKUP("LULUCF|NOx|Asthma symptoms cough", US_national_yearly!$D:$AM, 33, FALSE) / VLOOKUP("LULUCF|NOx|Asthma symptoms cough", US_national_yearly!$D:$AM, 10, FALSE), 1)</f>
        <v>7.7380969724699812E-5</v>
      </c>
      <c r="Z6" s="7">
        <f>$B6 * IFERROR(VLOOKUP("LULUCF|NOx|Asthma symptoms cough", US_national_yearly!$D:$AM, 34, FALSE) / VLOOKUP("LULUCF|NOx|Asthma symptoms cough", US_national_yearly!$D:$AM, 10, FALSE), 1)</f>
        <v>7.7734867734460876E-5</v>
      </c>
      <c r="AA6" s="7">
        <f>$B6 * IFERROR(VLOOKUP("LULUCF|NOx|Asthma symptoms cough", US_national_yearly!$D:$AM, 35, FALSE) / VLOOKUP("LULUCF|NOx|Asthma symptoms cough", US_national_yearly!$D:$AM, 10, FALSE), 1)</f>
        <v>7.8088765744221926E-5</v>
      </c>
      <c r="AB6" s="7">
        <f>$B6 * IFERROR(VLOOKUP("LULUCF|NOx|Asthma symptoms cough", US_national_yearly!$D:$AM, 36, FALSE) / VLOOKUP("LULUCF|NOx|Asthma symptoms cough", US_national_yearly!$D:$AM, 10, FALSE), 1)</f>
        <v>7.8442663753983002E-5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9.0133324227438855E-5</v>
      </c>
      <c r="C7" s="7">
        <f>$B7 * IFERROR(VLOOKUP("LULUCF|NOx|Asthma symptoms shortness of breath", US_national_yearly!$D:$AM, 11, FALSE) / VLOOKUP("LULUCF|NOx|Asthma symptoms shortness of breath", US_national_yearly!$D:$AM, 10, FALSE), 1)</f>
        <v>9.1365594130815757E-5</v>
      </c>
      <c r="D7" s="7">
        <f>$B7 * IFERROR(VLOOKUP("LULUCF|NOx|Asthma symptoms shortness of breath", US_national_yearly!$D:$AM, 12, FALSE) / VLOOKUP("LULUCF|NOx|Asthma symptoms shortness of breath", US_national_yearly!$D:$AM, 10, FALSE), 1)</f>
        <v>9.2597864034192645E-5</v>
      </c>
      <c r="E7" s="7">
        <f>$B7 * IFERROR(VLOOKUP("LULUCF|NOx|Asthma symptoms shortness of breath", US_national_yearly!$D:$AM, 13, FALSE) / VLOOKUP("LULUCF|NOx|Asthma symptoms shortness of breath", US_national_yearly!$D:$AM, 10, FALSE), 1)</f>
        <v>9.383013393756956E-5</v>
      </c>
      <c r="F7" s="7">
        <f>$B7 * IFERROR(VLOOKUP("LULUCF|NOx|Asthma symptoms shortness of breath", US_national_yearly!$D:$AM, 14, FALSE) / VLOOKUP("LULUCF|NOx|Asthma symptoms shortness of breath", US_national_yearly!$D:$AM, 10, FALSE), 1)</f>
        <v>9.5062403840946461E-5</v>
      </c>
      <c r="G7" s="7">
        <f>$B7 * IFERROR(VLOOKUP("LULUCF|NOx|Asthma symptoms shortness of breath", US_national_yearly!$D:$AM, 15, FALSE) / VLOOKUP("LULUCF|NOx|Asthma symptoms shortness of breath", US_national_yearly!$D:$AM, 10, FALSE), 1)</f>
        <v>9.6046199159852857E-5</v>
      </c>
      <c r="H7" s="7">
        <f>$B7 * IFERROR(VLOOKUP("LULUCF|NOx|Asthma symptoms shortness of breath", US_national_yearly!$D:$AM, 16, FALSE) / VLOOKUP("LULUCF|NOx|Asthma symptoms shortness of breath", US_national_yearly!$D:$AM, 10, FALSE), 1)</f>
        <v>9.7029994478759266E-5</v>
      </c>
      <c r="I7" s="7">
        <f>$B7 * IFERROR(VLOOKUP("LULUCF|NOx|Asthma symptoms shortness of breath", US_national_yearly!$D:$AM, 17, FALSE) / VLOOKUP("LULUCF|NOx|Asthma symptoms shortness of breath", US_national_yearly!$D:$AM, 10, FALSE), 1)</f>
        <v>9.7368602761747748E-5</v>
      </c>
      <c r="J7" s="7">
        <f>$B7 * IFERROR(VLOOKUP("LULUCF|NOx|Asthma symptoms shortness of breath", US_national_yearly!$D:$AM, 18, FALSE) / VLOOKUP("LULUCF|NOx|Asthma symptoms shortness of breath", US_national_yearly!$D:$AM, 10, FALSE), 1)</f>
        <v>9.770721104473623E-5</v>
      </c>
      <c r="K7" s="7">
        <f>$B7 * IFERROR(VLOOKUP("LULUCF|NOx|Asthma symptoms shortness of breath", US_national_yearly!$D:$AM, 19, FALSE) / VLOOKUP("LULUCF|NOx|Asthma symptoms shortness of breath", US_national_yearly!$D:$AM, 10, FALSE), 1)</f>
        <v>9.8045819327724712E-5</v>
      </c>
      <c r="L7" s="7">
        <f>$B7 * IFERROR(VLOOKUP("LULUCF|NOx|Asthma symptoms shortness of breath", US_national_yearly!$D:$AM, 20, FALSE) / VLOOKUP("LULUCF|NOx|Asthma symptoms shortness of breath", US_national_yearly!$D:$AM, 10, FALSE), 1)</f>
        <v>9.8384427610713208E-5</v>
      </c>
      <c r="M7" s="7">
        <f>$B7 * IFERROR(VLOOKUP("LULUCF|NOx|Asthma symptoms shortness of breath", US_national_yearly!$D:$AM, 21, FALSE) / VLOOKUP("LULUCF|NOx|Asthma symptoms shortness of breath", US_national_yearly!$D:$AM, 10, FALSE), 1)</f>
        <v>9.872303589370169E-5</v>
      </c>
      <c r="N7" s="7">
        <f>$B7 * IFERROR(VLOOKUP("LULUCF|NOx|Asthma symptoms shortness of breath", US_national_yearly!$D:$AM, 22, FALSE) / VLOOKUP("LULUCF|NOx|Asthma symptoms shortness of breath", US_national_yearly!$D:$AM, 10, FALSE), 1)</f>
        <v>9.9115677414390277E-5</v>
      </c>
      <c r="O7" s="7">
        <f>$B7 * IFERROR(VLOOKUP("LULUCF|NOx|Asthma symptoms shortness of breath", US_national_yearly!$D:$AM, 23, FALSE) / VLOOKUP("LULUCF|NOx|Asthma symptoms shortness of breath", US_national_yearly!$D:$AM, 10, FALSE), 1)</f>
        <v>9.9508318935078878E-5</v>
      </c>
      <c r="P7" s="7">
        <f>$B7 * IFERROR(VLOOKUP("LULUCF|NOx|Asthma symptoms shortness of breath", US_national_yearly!$D:$AM, 24, FALSE) / VLOOKUP("LULUCF|NOx|Asthma symptoms shortness of breath", US_national_yearly!$D:$AM, 10, FALSE), 1)</f>
        <v>9.9900960455767451E-5</v>
      </c>
      <c r="Q7" s="7">
        <f>$B7 * IFERROR(VLOOKUP("LULUCF|NOx|Asthma symptoms shortness of breath", US_national_yearly!$D:$AM, 25, FALSE) / VLOOKUP("LULUCF|NOx|Asthma symptoms shortness of breath", US_national_yearly!$D:$AM, 10, FALSE), 1)</f>
        <v>1.0029360197645605E-4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1.0068624349714464E-4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1.0119915837999901E-4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1.017120732628534E-4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1.0222498814570777E-4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1.0273790302856213E-4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1.0325081791141649E-4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1.0372738953573005E-4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1.0420396116004361E-4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1.0468053278435719E-4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1.0515710440867075E-4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1.0563367603298431E-4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1.3771073552368694E-4</v>
      </c>
      <c r="C8" s="7">
        <f>$B8 * IFERROR(VLOOKUP("LULUCF|NOx|Asthma symptoms wheeze", US_national_yearly!$D:$AM, 11, FALSE) / VLOOKUP("LULUCF|NOx|Asthma symptoms wheeze", US_national_yearly!$D:$AM, 10, FALSE), 1)</f>
        <v>1.3959346642903209E-4</v>
      </c>
      <c r="D8" s="7">
        <f>$B8 * IFERROR(VLOOKUP("LULUCF|NOx|Asthma symptoms wheeze", US_national_yearly!$D:$AM, 12, FALSE) / VLOOKUP("LULUCF|NOx|Asthma symptoms wheeze", US_national_yearly!$D:$AM, 10, FALSE), 1)</f>
        <v>1.4147619733437733E-4</v>
      </c>
      <c r="E8" s="7">
        <f>$B8 * IFERROR(VLOOKUP("LULUCF|NOx|Asthma symptoms wheeze", US_national_yearly!$D:$AM, 13, FALSE) / VLOOKUP("LULUCF|NOx|Asthma symptoms wheeze", US_national_yearly!$D:$AM, 10, FALSE), 1)</f>
        <v>1.4335892823972248E-4</v>
      </c>
      <c r="F8" s="7">
        <f>$B8 * IFERROR(VLOOKUP("LULUCF|NOx|Asthma symptoms wheeze", US_national_yearly!$D:$AM, 14, FALSE) / VLOOKUP("LULUCF|NOx|Asthma symptoms wheeze", US_national_yearly!$D:$AM, 10, FALSE), 1)</f>
        <v>1.4524165914506766E-4</v>
      </c>
      <c r="G8" s="7">
        <f>$B8 * IFERROR(VLOOKUP("LULUCF|NOx|Asthma symptoms wheeze", US_national_yearly!$D:$AM, 15, FALSE) / VLOOKUP("LULUCF|NOx|Asthma symptoms wheeze", US_national_yearly!$D:$AM, 10, FALSE), 1)</f>
        <v>1.4674475668023605E-4</v>
      </c>
      <c r="H8" s="7">
        <f>$B8 * IFERROR(VLOOKUP("LULUCF|NOx|Asthma symptoms wheeze", US_national_yearly!$D:$AM, 16, FALSE) / VLOOKUP("LULUCF|NOx|Asthma symptoms wheeze", US_national_yearly!$D:$AM, 10, FALSE), 1)</f>
        <v>1.4824785421540444E-4</v>
      </c>
      <c r="I8" s="7">
        <f>$B8 * IFERROR(VLOOKUP("LULUCF|NOx|Asthma symptoms wheeze", US_national_yearly!$D:$AM, 17, FALSE) / VLOOKUP("LULUCF|NOx|Asthma symptoms wheeze", US_national_yearly!$D:$AM, 10, FALSE), 1)</f>
        <v>1.4876519890101155E-4</v>
      </c>
      <c r="J8" s="7">
        <f>$B8 * IFERROR(VLOOKUP("LULUCF|NOx|Asthma symptoms wheeze", US_national_yearly!$D:$AM, 18, FALSE) / VLOOKUP("LULUCF|NOx|Asthma symptoms wheeze", US_national_yearly!$D:$AM, 10, FALSE), 1)</f>
        <v>1.4928254358661868E-4</v>
      </c>
      <c r="K8" s="7">
        <f>$B8 * IFERROR(VLOOKUP("LULUCF|NOx|Asthma symptoms wheeze", US_national_yearly!$D:$AM, 19, FALSE) / VLOOKUP("LULUCF|NOx|Asthma symptoms wheeze", US_national_yearly!$D:$AM, 10, FALSE), 1)</f>
        <v>1.4979988827222576E-4</v>
      </c>
      <c r="L8" s="7">
        <f>$B8 * IFERROR(VLOOKUP("LULUCF|NOx|Asthma symptoms wheeze", US_national_yearly!$D:$AM, 20, FALSE) / VLOOKUP("LULUCF|NOx|Asthma symptoms wheeze", US_national_yearly!$D:$AM, 10, FALSE), 1)</f>
        <v>1.5031723295783289E-4</v>
      </c>
      <c r="M8" s="7">
        <f>$B8 * IFERROR(VLOOKUP("LULUCF|NOx|Asthma symptoms wheeze", US_national_yearly!$D:$AM, 21, FALSE) / VLOOKUP("LULUCF|NOx|Asthma symptoms wheeze", US_national_yearly!$D:$AM, 10, FALSE), 1)</f>
        <v>1.5083457764344E-4</v>
      </c>
      <c r="N8" s="7">
        <f>$B8 * IFERROR(VLOOKUP("LULUCF|NOx|Asthma symptoms wheeze", US_national_yearly!$D:$AM, 22, FALSE) / VLOOKUP("LULUCF|NOx|Asthma symptoms wheeze", US_national_yearly!$D:$AM, 10, FALSE), 1)</f>
        <v>1.5143447733188698E-4</v>
      </c>
      <c r="O8" s="7">
        <f>$B8 * IFERROR(VLOOKUP("LULUCF|NOx|Asthma symptoms wheeze", US_national_yearly!$D:$AM, 23, FALSE) / VLOOKUP("LULUCF|NOx|Asthma symptoms wheeze", US_national_yearly!$D:$AM, 10, FALSE), 1)</f>
        <v>1.5203437702033398E-4</v>
      </c>
      <c r="P8" s="7">
        <f>$B8 * IFERROR(VLOOKUP("LULUCF|NOx|Asthma symptoms wheeze", US_national_yearly!$D:$AM, 24, FALSE) / VLOOKUP("LULUCF|NOx|Asthma symptoms wheeze", US_national_yearly!$D:$AM, 10, FALSE), 1)</f>
        <v>1.5263427670878096E-4</v>
      </c>
      <c r="Q8" s="7">
        <f>$B8 * IFERROR(VLOOKUP("LULUCF|NOx|Asthma symptoms wheeze", US_national_yearly!$D:$AM, 25, FALSE) / VLOOKUP("LULUCF|NOx|Asthma symptoms wheeze", US_national_yearly!$D:$AM, 10, FALSE), 1)</f>
        <v>1.5323417639722799E-4</v>
      </c>
      <c r="R8" s="7">
        <f>$B8 * IFERROR(VLOOKUP("LULUCF|NOx|Asthma symptoms wheeze", US_national_yearly!$D:$AM, 26, FALSE) / VLOOKUP("LULUCF|NOx|Asthma symptoms wheeze", US_national_yearly!$D:$AM, 10, FALSE), 1)</f>
        <v>1.5383407608567497E-4</v>
      </c>
      <c r="S8" s="7">
        <f>$B8 * IFERROR(VLOOKUP("LULUCF|NOx|Asthma symptoms wheeze", US_national_yearly!$D:$AM, 27, FALSE) / VLOOKUP("LULUCF|NOx|Asthma symptoms wheeze", US_national_yearly!$D:$AM, 10, FALSE), 1)</f>
        <v>1.5461773614495748E-4</v>
      </c>
      <c r="T8" s="7">
        <f>$B8 * IFERROR(VLOOKUP("LULUCF|NOx|Asthma symptoms wheeze", US_national_yearly!$D:$AM, 28, FALSE) / VLOOKUP("LULUCF|NOx|Asthma symptoms wheeze", US_national_yearly!$D:$AM, 10, FALSE), 1)</f>
        <v>1.5540139620423999E-4</v>
      </c>
      <c r="U8" s="7">
        <f>$B8 * IFERROR(VLOOKUP("LULUCF|NOx|Asthma symptoms wheeze", US_national_yearly!$D:$AM, 29, FALSE) / VLOOKUP("LULUCF|NOx|Asthma symptoms wheeze", US_national_yearly!$D:$AM, 10, FALSE), 1)</f>
        <v>1.5618505626352252E-4</v>
      </c>
      <c r="V8" s="7">
        <f>$B8 * IFERROR(VLOOKUP("LULUCF|NOx|Asthma symptoms wheeze", US_national_yearly!$D:$AM, 30, FALSE) / VLOOKUP("LULUCF|NOx|Asthma symptoms wheeze", US_national_yearly!$D:$AM, 10, FALSE), 1)</f>
        <v>1.5696871632280506E-4</v>
      </c>
      <c r="W8" s="7">
        <f>$B8 * IFERROR(VLOOKUP("LULUCF|NOx|Asthma symptoms wheeze", US_national_yearly!$D:$AM, 31, FALSE) / VLOOKUP("LULUCF|NOx|Asthma symptoms wheeze", US_national_yearly!$D:$AM, 10, FALSE), 1)</f>
        <v>1.5775237638208754E-4</v>
      </c>
      <c r="X8" s="7">
        <f>$B8 * IFERROR(VLOOKUP("LULUCF|NOx|Asthma symptoms wheeze", US_national_yearly!$D:$AM, 32, FALSE) / VLOOKUP("LULUCF|NOx|Asthma symptoms wheeze", US_national_yearly!$D:$AM, 10, FALSE), 1)</f>
        <v>1.5848050917753844E-4</v>
      </c>
      <c r="Y8" s="7">
        <f>$B8 * IFERROR(VLOOKUP("LULUCF|NOx|Asthma symptoms wheeze", US_national_yearly!$D:$AM, 33, FALSE) / VLOOKUP("LULUCF|NOx|Asthma symptoms wheeze", US_national_yearly!$D:$AM, 10, FALSE), 1)</f>
        <v>1.5920864197298932E-4</v>
      </c>
      <c r="Z8" s="7">
        <f>$B8 * IFERROR(VLOOKUP("LULUCF|NOx|Asthma symptoms wheeze", US_national_yearly!$D:$AM, 34, FALSE) / VLOOKUP("LULUCF|NOx|Asthma symptoms wheeze", US_national_yearly!$D:$AM, 10, FALSE), 1)</f>
        <v>1.5993677476844022E-4</v>
      </c>
      <c r="AA8" s="7">
        <f>$B8 * IFERROR(VLOOKUP("LULUCF|NOx|Asthma symptoms wheeze", US_national_yearly!$D:$AM, 35, FALSE) / VLOOKUP("LULUCF|NOx|Asthma symptoms wheeze", US_national_yearly!$D:$AM, 10, FALSE), 1)</f>
        <v>1.6066490756389107E-4</v>
      </c>
      <c r="AB8" s="7">
        <f>$B8 * IFERROR(VLOOKUP("LULUCF|NOx|Asthma symptoms wheeze", US_national_yearly!$D:$AM, 36, FALSE) / VLOOKUP("LULUCF|NOx|Asthma symptoms wheeze", US_national_yearly!$D:$AM, 10, FALSE), 1)</f>
        <v>1.6139304035934197E-4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1.4427305234578487E-6</v>
      </c>
      <c r="C12" s="7">
        <f>$B12 * IFERROR(VLOOKUP("LULUCF|NOx|Respiratory hospital admissions", US_national_yearly!$D:$AM, 11, FALSE) / VLOOKUP("LULUCF|NOx|Respiratory hospital admissions", US_national_yearly!$D:$AM, 10, FALSE), 1)</f>
        <v>1.4787189526217002E-6</v>
      </c>
      <c r="D12" s="7">
        <f>$B12 * IFERROR(VLOOKUP("LULUCF|NOx|Respiratory hospital admissions", US_national_yearly!$D:$AM, 12, FALSE) / VLOOKUP("LULUCF|NOx|Respiratory hospital admissions", US_national_yearly!$D:$AM, 10, FALSE), 1)</f>
        <v>1.5147073817855522E-6</v>
      </c>
      <c r="E12" s="7">
        <f>$B12 * IFERROR(VLOOKUP("LULUCF|NOx|Respiratory hospital admissions", US_national_yearly!$D:$AM, 13, FALSE) / VLOOKUP("LULUCF|NOx|Respiratory hospital admissions", US_national_yearly!$D:$AM, 10, FALSE), 1)</f>
        <v>1.5506958109494042E-6</v>
      </c>
      <c r="F12" s="7">
        <f>$B12 * IFERROR(VLOOKUP("LULUCF|NOx|Respiratory hospital admissions", US_national_yearly!$D:$AM, 14, FALSE) / VLOOKUP("LULUCF|NOx|Respiratory hospital admissions", US_national_yearly!$D:$AM, 10, FALSE), 1)</f>
        <v>1.5866842401132561E-6</v>
      </c>
      <c r="G12" s="7">
        <f>$B12 * IFERROR(VLOOKUP("LULUCF|NOx|Respiratory hospital admissions", US_national_yearly!$D:$AM, 15, FALSE) / VLOOKUP("LULUCF|NOx|Respiratory hospital admissions", US_national_yearly!$D:$AM, 10, FALSE), 1)</f>
        <v>1.6210904032942208E-6</v>
      </c>
      <c r="H12" s="7">
        <f>$B12 * IFERROR(VLOOKUP("LULUCF|NOx|Respiratory hospital admissions", US_national_yearly!$D:$AM, 16, FALSE) / VLOOKUP("LULUCF|NOx|Respiratory hospital admissions", US_national_yearly!$D:$AM, 10, FALSE), 1)</f>
        <v>1.6554965664751856E-6</v>
      </c>
      <c r="I12" s="7">
        <f>$B12 * IFERROR(VLOOKUP("LULUCF|NOx|Respiratory hospital admissions", US_national_yearly!$D:$AM, 17, FALSE) / VLOOKUP("LULUCF|NOx|Respiratory hospital admissions", US_national_yearly!$D:$AM, 10, FALSE), 1)</f>
        <v>1.6847081063349582E-6</v>
      </c>
      <c r="J12" s="7">
        <f>$B12 * IFERROR(VLOOKUP("LULUCF|NOx|Respiratory hospital admissions", US_national_yearly!$D:$AM, 18, FALSE) / VLOOKUP("LULUCF|NOx|Respiratory hospital admissions", US_national_yearly!$D:$AM, 10, FALSE), 1)</f>
        <v>1.7139196461947309E-6</v>
      </c>
      <c r="K12" s="7">
        <f>$B12 * IFERROR(VLOOKUP("LULUCF|NOx|Respiratory hospital admissions", US_national_yearly!$D:$AM, 19, FALSE) / VLOOKUP("LULUCF|NOx|Respiratory hospital admissions", US_national_yearly!$D:$AM, 10, FALSE), 1)</f>
        <v>1.7431311860545035E-6</v>
      </c>
      <c r="L12" s="7">
        <f>$B12 * IFERROR(VLOOKUP("LULUCF|NOx|Respiratory hospital admissions", US_national_yearly!$D:$AM, 20, FALSE) / VLOOKUP("LULUCF|NOx|Respiratory hospital admissions", US_national_yearly!$D:$AM, 10, FALSE), 1)</f>
        <v>1.7723427259142764E-6</v>
      </c>
      <c r="M12" s="7">
        <f>$B12 * IFERROR(VLOOKUP("LULUCF|NOx|Respiratory hospital admissions", US_national_yearly!$D:$AM, 21, FALSE) / VLOOKUP("LULUCF|NOx|Respiratory hospital admissions", US_national_yearly!$D:$AM, 10, FALSE), 1)</f>
        <v>1.8015542657740492E-6</v>
      </c>
      <c r="N12" s="7">
        <f>$B12 * IFERROR(VLOOKUP("LULUCF|NOx|Respiratory hospital admissions", US_national_yearly!$D:$AM, 22, FALSE) / VLOOKUP("LULUCF|NOx|Respiratory hospital admissions", US_national_yearly!$D:$AM, 10, FALSE), 1)</f>
        <v>1.8210827061112103E-6</v>
      </c>
      <c r="O12" s="7">
        <f>$B12 * IFERROR(VLOOKUP("LULUCF|NOx|Respiratory hospital admissions", US_national_yearly!$D:$AM, 23, FALSE) / VLOOKUP("LULUCF|NOx|Respiratory hospital admissions", US_national_yearly!$D:$AM, 10, FALSE), 1)</f>
        <v>1.840611146448372E-6</v>
      </c>
      <c r="P12" s="7">
        <f>$B12 * IFERROR(VLOOKUP("LULUCF|NOx|Respiratory hospital admissions", US_national_yearly!$D:$AM, 24, FALSE) / VLOOKUP("LULUCF|NOx|Respiratory hospital admissions", US_national_yearly!$D:$AM, 10, FALSE), 1)</f>
        <v>1.8601395867855335E-6</v>
      </c>
      <c r="Q12" s="7">
        <f>$B12 * IFERROR(VLOOKUP("LULUCF|NOx|Respiratory hospital admissions", US_national_yearly!$D:$AM, 25, FALSE) / VLOOKUP("LULUCF|NOx|Respiratory hospital admissions", US_national_yearly!$D:$AM, 10, FALSE), 1)</f>
        <v>1.8796680271226954E-6</v>
      </c>
      <c r="R12" s="7">
        <f>$B12 * IFERROR(VLOOKUP("LULUCF|NOx|Respiratory hospital admissions", US_national_yearly!$D:$AM, 26, FALSE) / VLOOKUP("LULUCF|NOx|Respiratory hospital admissions", US_national_yearly!$D:$AM, 10, FALSE), 1)</f>
        <v>1.8991964674598569E-6</v>
      </c>
      <c r="S12" s="7">
        <f>$B12 * IFERROR(VLOOKUP("LULUCF|NOx|Respiratory hospital admissions", US_national_yearly!$D:$AM, 27, FALSE) / VLOOKUP("LULUCF|NOx|Respiratory hospital admissions", US_national_yearly!$D:$AM, 10, FALSE), 1)</f>
        <v>1.9096592766330692E-6</v>
      </c>
      <c r="T12" s="7">
        <f>$B12 * IFERROR(VLOOKUP("LULUCF|NOx|Respiratory hospital admissions", US_national_yearly!$D:$AM, 28, FALSE) / VLOOKUP("LULUCF|NOx|Respiratory hospital admissions", US_national_yearly!$D:$AM, 10, FALSE), 1)</f>
        <v>1.9201220858062814E-6</v>
      </c>
      <c r="U12" s="7">
        <f>$B12 * IFERROR(VLOOKUP("LULUCF|NOx|Respiratory hospital admissions", US_national_yearly!$D:$AM, 29, FALSE) / VLOOKUP("LULUCF|NOx|Respiratory hospital admissions", US_national_yearly!$D:$AM, 10, FALSE), 1)</f>
        <v>1.9305848949794935E-6</v>
      </c>
      <c r="V12" s="7">
        <f>$B12 * IFERROR(VLOOKUP("LULUCF|NOx|Respiratory hospital admissions", US_national_yearly!$D:$AM, 30, FALSE) / VLOOKUP("LULUCF|NOx|Respiratory hospital admissions", US_national_yearly!$D:$AM, 10, FALSE), 1)</f>
        <v>1.9410477041527056E-6</v>
      </c>
      <c r="W12" s="7">
        <f>$B12 * IFERROR(VLOOKUP("LULUCF|NOx|Respiratory hospital admissions", US_national_yearly!$D:$AM, 31, FALSE) / VLOOKUP("LULUCF|NOx|Respiratory hospital admissions", US_national_yearly!$D:$AM, 10, FALSE), 1)</f>
        <v>1.9515105133259182E-6</v>
      </c>
      <c r="X12" s="7">
        <f>$B12 * IFERROR(VLOOKUP("LULUCF|NOx|Respiratory hospital admissions", US_national_yearly!$D:$AM, 32, FALSE) / VLOOKUP("LULUCF|NOx|Respiratory hospital admissions", US_national_yearly!$D:$AM, 10, FALSE), 1)</f>
        <v>1.9586604841044182E-6</v>
      </c>
      <c r="Y12" s="7">
        <f>$B12 * IFERROR(VLOOKUP("LULUCF|NOx|Respiratory hospital admissions", US_national_yearly!$D:$AM, 33, FALSE) / VLOOKUP("LULUCF|NOx|Respiratory hospital admissions", US_national_yearly!$D:$AM, 10, FALSE), 1)</f>
        <v>1.9658104548829182E-6</v>
      </c>
      <c r="Z12" s="7">
        <f>$B12 * IFERROR(VLOOKUP("LULUCF|NOx|Respiratory hospital admissions", US_national_yearly!$D:$AM, 34, FALSE) / VLOOKUP("LULUCF|NOx|Respiratory hospital admissions", US_national_yearly!$D:$AM, 10, FALSE), 1)</f>
        <v>1.9729604256614183E-6</v>
      </c>
      <c r="AA12" s="7">
        <f>$B12 * IFERROR(VLOOKUP("LULUCF|NOx|Respiratory hospital admissions", US_national_yearly!$D:$AM, 35, FALSE) / VLOOKUP("LULUCF|NOx|Respiratory hospital admissions", US_national_yearly!$D:$AM, 10, FALSE), 1)</f>
        <v>1.9801103964399183E-6</v>
      </c>
      <c r="AB12" s="7">
        <f>$B12 * IFERROR(VLOOKUP("LULUCF|NOx|Respiratory hospital admissions", US_national_yearly!$D:$AM, 36, FALSE) / VLOOKUP("LULUCF|NOx|Respiratory hospital admissions", US_national_yearly!$D:$AM, 10, FALSE), 1)</f>
        <v>1.987260367218418E-6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6.961867543644171E-6</v>
      </c>
      <c r="C13" s="7">
        <f>$B13 * IFERROR(VLOOKUP("LULUCF|NOx|Non-fatal heart attacks", US_national_yearly!$D:$AM, 11, FALSE) / VLOOKUP("LULUCF|NOx|Non-fatal heart attacks", US_national_yearly!$D:$AM, 10, FALSE), 1)</f>
        <v>7.1609012029203015E-6</v>
      </c>
      <c r="D13" s="7">
        <f>$B13 * IFERROR(VLOOKUP("LULUCF|NOx|Non-fatal heart attacks", US_national_yearly!$D:$AM, 12, FALSE) / VLOOKUP("LULUCF|NOx|Non-fatal heart attacks", US_national_yearly!$D:$AM, 10, FALSE), 1)</f>
        <v>7.3599348621964321E-6</v>
      </c>
      <c r="E13" s="7">
        <f>$B13 * IFERROR(VLOOKUP("LULUCF|NOx|Non-fatal heart attacks", US_national_yearly!$D:$AM, 13, FALSE) / VLOOKUP("LULUCF|NOx|Non-fatal heart attacks", US_national_yearly!$D:$AM, 10, FALSE), 1)</f>
        <v>7.558968521472561E-6</v>
      </c>
      <c r="F13" s="7">
        <f>$B13 * IFERROR(VLOOKUP("LULUCF|NOx|Non-fatal heart attacks", US_national_yearly!$D:$AM, 14, FALSE) / VLOOKUP("LULUCF|NOx|Non-fatal heart attacks", US_national_yearly!$D:$AM, 10, FALSE), 1)</f>
        <v>7.7580021807486907E-6</v>
      </c>
      <c r="G13" s="7">
        <f>$B13 * IFERROR(VLOOKUP("LULUCF|NOx|Non-fatal heart attacks", US_national_yearly!$D:$AM, 15, FALSE) / VLOOKUP("LULUCF|NOx|Non-fatal heart attacks", US_national_yearly!$D:$AM, 10, FALSE), 1)</f>
        <v>7.9439987216812038E-6</v>
      </c>
      <c r="H13" s="7">
        <f>$B13 * IFERROR(VLOOKUP("LULUCF|NOx|Non-fatal heart attacks", US_national_yearly!$D:$AM, 16, FALSE) / VLOOKUP("LULUCF|NOx|Non-fatal heart attacks", US_national_yearly!$D:$AM, 10, FALSE), 1)</f>
        <v>8.1299952626137152E-6</v>
      </c>
      <c r="I13" s="7">
        <f>$B13 * IFERROR(VLOOKUP("LULUCF|NOx|Non-fatal heart attacks", US_national_yearly!$D:$AM, 17, FALSE) / VLOOKUP("LULUCF|NOx|Non-fatal heart attacks", US_national_yearly!$D:$AM, 10, FALSE), 1)</f>
        <v>8.2766322737043013E-6</v>
      </c>
      <c r="J13" s="7">
        <f>$B13 * IFERROR(VLOOKUP("LULUCF|NOx|Non-fatal heart attacks", US_national_yearly!$D:$AM, 18, FALSE) / VLOOKUP("LULUCF|NOx|Non-fatal heart attacks", US_national_yearly!$D:$AM, 10, FALSE), 1)</f>
        <v>8.4232692847948907E-6</v>
      </c>
      <c r="K13" s="7">
        <f>$B13 * IFERROR(VLOOKUP("LULUCF|NOx|Non-fatal heart attacks", US_national_yearly!$D:$AM, 19, FALSE) / VLOOKUP("LULUCF|NOx|Non-fatal heart attacks", US_national_yearly!$D:$AM, 10, FALSE), 1)</f>
        <v>8.5699062958854717E-6</v>
      </c>
      <c r="L13" s="7">
        <f>$B13 * IFERROR(VLOOKUP("LULUCF|NOx|Non-fatal heart attacks", US_national_yearly!$D:$AM, 20, FALSE) / VLOOKUP("LULUCF|NOx|Non-fatal heart attacks", US_national_yearly!$D:$AM, 10, FALSE), 1)</f>
        <v>8.7165433069760662E-6</v>
      </c>
      <c r="M13" s="7">
        <f>$B13 * IFERROR(VLOOKUP("LULUCF|NOx|Non-fatal heart attacks", US_national_yearly!$D:$AM, 21, FALSE) / VLOOKUP("LULUCF|NOx|Non-fatal heart attacks", US_national_yearly!$D:$AM, 10, FALSE), 1)</f>
        <v>8.8631803180666506E-6</v>
      </c>
      <c r="N13" s="7">
        <f>$B13 * IFERROR(VLOOKUP("LULUCF|NOx|Non-fatal heart attacks", US_national_yearly!$D:$AM, 22, FALSE) / VLOOKUP("LULUCF|NOx|Non-fatal heart attacks", US_national_yearly!$D:$AM, 10, FALSE), 1)</f>
        <v>8.9514015909374635E-6</v>
      </c>
      <c r="O13" s="7">
        <f>$B13 * IFERROR(VLOOKUP("LULUCF|NOx|Non-fatal heart attacks", US_national_yearly!$D:$AM, 23, FALSE) / VLOOKUP("LULUCF|NOx|Non-fatal heart attacks", US_national_yearly!$D:$AM, 10, FALSE), 1)</f>
        <v>9.0396228638082764E-6</v>
      </c>
      <c r="P13" s="7">
        <f>$B13 * IFERROR(VLOOKUP("LULUCF|NOx|Non-fatal heart attacks", US_national_yearly!$D:$AM, 24, FALSE) / VLOOKUP("LULUCF|NOx|Non-fatal heart attacks", US_national_yearly!$D:$AM, 10, FALSE), 1)</f>
        <v>9.1278441366790893E-6</v>
      </c>
      <c r="Q13" s="7">
        <f>$B13 * IFERROR(VLOOKUP("LULUCF|NOx|Non-fatal heart attacks", US_national_yearly!$D:$AM, 25, FALSE) / VLOOKUP("LULUCF|NOx|Non-fatal heart attacks", US_national_yearly!$D:$AM, 10, FALSE), 1)</f>
        <v>9.2160654095499039E-6</v>
      </c>
      <c r="R13" s="7">
        <f>$B13 * IFERROR(VLOOKUP("LULUCF|NOx|Non-fatal heart attacks", US_national_yearly!$D:$AM, 26, FALSE) / VLOOKUP("LULUCF|NOx|Non-fatal heart attacks", US_national_yearly!$D:$AM, 10, FALSE), 1)</f>
        <v>9.3042866824207168E-6</v>
      </c>
      <c r="S13" s="7">
        <f>$B13 * IFERROR(VLOOKUP("LULUCF|NOx|Non-fatal heart attacks", US_national_yearly!$D:$AM, 27, FALSE) / VLOOKUP("LULUCF|NOx|Non-fatal heart attacks", US_national_yearly!$D:$AM, 10, FALSE), 1)</f>
        <v>9.344304461966061E-6</v>
      </c>
      <c r="T13" s="7">
        <f>$B13 * IFERROR(VLOOKUP("LULUCF|NOx|Non-fatal heart attacks", US_national_yearly!$D:$AM, 28, FALSE) / VLOOKUP("LULUCF|NOx|Non-fatal heart attacks", US_national_yearly!$D:$AM, 10, FALSE), 1)</f>
        <v>9.3843222415114035E-6</v>
      </c>
      <c r="U13" s="7">
        <f>$B13 * IFERROR(VLOOKUP("LULUCF|NOx|Non-fatal heart attacks", US_national_yearly!$D:$AM, 29, FALSE) / VLOOKUP("LULUCF|NOx|Non-fatal heart attacks", US_national_yearly!$D:$AM, 10, FALSE), 1)</f>
        <v>9.4243400210567478E-6</v>
      </c>
      <c r="V13" s="7">
        <f>$B13 * IFERROR(VLOOKUP("LULUCF|NOx|Non-fatal heart attacks", US_national_yearly!$D:$AM, 30, FALSE) / VLOOKUP("LULUCF|NOx|Non-fatal heart attacks", US_national_yearly!$D:$AM, 10, FALSE), 1)</f>
        <v>9.4643578006020903E-6</v>
      </c>
      <c r="W13" s="7">
        <f>$B13 * IFERROR(VLOOKUP("LULUCF|NOx|Non-fatal heart attacks", US_national_yearly!$D:$AM, 31, FALSE) / VLOOKUP("LULUCF|NOx|Non-fatal heart attacks", US_national_yearly!$D:$AM, 10, FALSE), 1)</f>
        <v>9.5043755801474345E-6</v>
      </c>
      <c r="X13" s="7">
        <f>$B13 * IFERROR(VLOOKUP("LULUCF|NOx|Non-fatal heart attacks", US_national_yearly!$D:$AM, 32, FALSE) / VLOOKUP("LULUCF|NOx|Non-fatal heart attacks", US_national_yearly!$D:$AM, 10, FALSE), 1)</f>
        <v>9.5311175661035799E-6</v>
      </c>
      <c r="Y13" s="7">
        <f>$B13 * IFERROR(VLOOKUP("LULUCF|NOx|Non-fatal heart attacks", US_national_yearly!$D:$AM, 33, FALSE) / VLOOKUP("LULUCF|NOx|Non-fatal heart attacks", US_national_yearly!$D:$AM, 10, FALSE), 1)</f>
        <v>9.5578595520597288E-6</v>
      </c>
      <c r="Z13" s="7">
        <f>$B13 * IFERROR(VLOOKUP("LULUCF|NOx|Non-fatal heart attacks", US_national_yearly!$D:$AM, 34, FALSE) / VLOOKUP("LULUCF|NOx|Non-fatal heart attacks", US_national_yearly!$D:$AM, 10, FALSE), 1)</f>
        <v>9.5846015380158725E-6</v>
      </c>
      <c r="AA13" s="7">
        <f>$B13 * IFERROR(VLOOKUP("LULUCF|NOx|Non-fatal heart attacks", US_national_yearly!$D:$AM, 35, FALSE) / VLOOKUP("LULUCF|NOx|Non-fatal heart attacks", US_national_yearly!$D:$AM, 10, FALSE), 1)</f>
        <v>9.6113435239720197E-6</v>
      </c>
      <c r="AB13" s="7">
        <f>$B13 * IFERROR(VLOOKUP("LULUCF|NOx|Non-fatal heart attacks", US_national_yearly!$D:$AM, 36, FALSE) / VLOOKUP("LULUCF|NOx|Non-fatal heart attacks", US_national_yearly!$D:$AM, 10, FALSE), 1)</f>
        <v>9.6380855099281685E-6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7.2356752560616402E-3</v>
      </c>
      <c r="C14" s="7">
        <f>$B14 * IFERROR(VLOOKUP("LULUCF|NOx|Minor restricted activity days", US_national_yearly!$D:$AM, 11, FALSE) / VLOOKUP("LULUCF|NOx|Minor restricted activity days", US_national_yearly!$D:$AM, 10, FALSE), 1)</f>
        <v>7.2467687605102362E-3</v>
      </c>
      <c r="D14" s="7">
        <f>$B14 * IFERROR(VLOOKUP("LULUCF|NOx|Minor restricted activity days", US_national_yearly!$D:$AM, 12, FALSE) / VLOOKUP("LULUCF|NOx|Minor restricted activity days", US_national_yearly!$D:$AM, 10, FALSE), 1)</f>
        <v>7.257862264958833E-3</v>
      </c>
      <c r="E14" s="7">
        <f>$B14 * IFERROR(VLOOKUP("LULUCF|NOx|Minor restricted activity days", US_national_yearly!$D:$AM, 13, FALSE) / VLOOKUP("LULUCF|NOx|Minor restricted activity days", US_national_yearly!$D:$AM, 10, FALSE), 1)</f>
        <v>7.2689557694074307E-3</v>
      </c>
      <c r="F14" s="7">
        <f>$B14 * IFERROR(VLOOKUP("LULUCF|NOx|Minor restricted activity days", US_national_yearly!$D:$AM, 14, FALSE) / VLOOKUP("LULUCF|NOx|Minor restricted activity days", US_national_yearly!$D:$AM, 10, FALSE), 1)</f>
        <v>7.2800492738560258E-3</v>
      </c>
      <c r="G14" s="7">
        <f>$B14 * IFERROR(VLOOKUP("LULUCF|NOx|Minor restricted activity days", US_national_yearly!$D:$AM, 15, FALSE) / VLOOKUP("LULUCF|NOx|Minor restricted activity days", US_national_yearly!$D:$AM, 10, FALSE), 1)</f>
        <v>7.3000815024092391E-3</v>
      </c>
      <c r="H14" s="7">
        <f>$B14 * IFERROR(VLOOKUP("LULUCF|NOx|Minor restricted activity days", US_national_yearly!$D:$AM, 16, FALSE) / VLOOKUP("LULUCF|NOx|Minor restricted activity days", US_national_yearly!$D:$AM, 10, FALSE), 1)</f>
        <v>7.3201137309624508E-3</v>
      </c>
      <c r="I14" s="7">
        <f>$B14 * IFERROR(VLOOKUP("LULUCF|NOx|Minor restricted activity days", US_national_yearly!$D:$AM, 17, FALSE) / VLOOKUP("LULUCF|NOx|Minor restricted activity days", US_national_yearly!$D:$AM, 10, FALSE), 1)</f>
        <v>7.35929597785625E-3</v>
      </c>
      <c r="J14" s="7">
        <f>$B14 * IFERROR(VLOOKUP("LULUCF|NOx|Minor restricted activity days", US_national_yearly!$D:$AM, 18, FALSE) / VLOOKUP("LULUCF|NOx|Minor restricted activity days", US_national_yearly!$D:$AM, 10, FALSE), 1)</f>
        <v>7.3984782247500467E-3</v>
      </c>
      <c r="K14" s="7">
        <f>$B14 * IFERROR(VLOOKUP("LULUCF|NOx|Minor restricted activity days", US_national_yearly!$D:$AM, 19, FALSE) / VLOOKUP("LULUCF|NOx|Minor restricted activity days", US_national_yearly!$D:$AM, 10, FALSE), 1)</f>
        <v>7.437660471643846E-3</v>
      </c>
      <c r="L14" s="7">
        <f>$B14 * IFERROR(VLOOKUP("LULUCF|NOx|Minor restricted activity days", US_national_yearly!$D:$AM, 20, FALSE) / VLOOKUP("LULUCF|NOx|Minor restricted activity days", US_national_yearly!$D:$AM, 10, FALSE), 1)</f>
        <v>7.4768427185376426E-3</v>
      </c>
      <c r="M14" s="7">
        <f>$B14 * IFERROR(VLOOKUP("LULUCF|NOx|Minor restricted activity days", US_national_yearly!$D:$AM, 21, FALSE) / VLOOKUP("LULUCF|NOx|Minor restricted activity days", US_national_yearly!$D:$AM, 10, FALSE), 1)</f>
        <v>7.5160249654314419E-3</v>
      </c>
      <c r="N14" s="7">
        <f>$B14 * IFERROR(VLOOKUP("LULUCF|NOx|Minor restricted activity days", US_national_yearly!$D:$AM, 22, FALSE) / VLOOKUP("LULUCF|NOx|Minor restricted activity days", US_national_yearly!$D:$AM, 10, FALSE), 1)</f>
        <v>7.5721250586013086E-3</v>
      </c>
      <c r="O14" s="7">
        <f>$B14 * IFERROR(VLOOKUP("LULUCF|NOx|Minor restricted activity days", US_national_yearly!$D:$AM, 23, FALSE) / VLOOKUP("LULUCF|NOx|Minor restricted activity days", US_national_yearly!$D:$AM, 10, FALSE), 1)</f>
        <v>7.6282251517711761E-3</v>
      </c>
      <c r="P14" s="7">
        <f>$B14 * IFERROR(VLOOKUP("LULUCF|NOx|Minor restricted activity days", US_national_yearly!$D:$AM, 24, FALSE) / VLOOKUP("LULUCF|NOx|Minor restricted activity days", US_national_yearly!$D:$AM, 10, FALSE), 1)</f>
        <v>7.6843252449410428E-3</v>
      </c>
      <c r="Q14" s="7">
        <f>$B14 * IFERROR(VLOOKUP("LULUCF|NOx|Minor restricted activity days", US_national_yearly!$D:$AM, 25, FALSE) / VLOOKUP("LULUCF|NOx|Minor restricted activity days", US_national_yearly!$D:$AM, 10, FALSE), 1)</f>
        <v>7.7404253381109104E-3</v>
      </c>
      <c r="R14" s="7">
        <f>$B14 * IFERROR(VLOOKUP("LULUCF|NOx|Minor restricted activity days", US_national_yearly!$D:$AM, 26, FALSE) / VLOOKUP("LULUCF|NOx|Minor restricted activity days", US_national_yearly!$D:$AM, 10, FALSE), 1)</f>
        <v>7.796525431280777E-3</v>
      </c>
      <c r="S14" s="7">
        <f>$B14 * IFERROR(VLOOKUP("LULUCF|NOx|Minor restricted activity days", US_national_yearly!$D:$AM, 27, FALSE) / VLOOKUP("LULUCF|NOx|Minor restricted activity days", US_national_yearly!$D:$AM, 10, FALSE), 1)</f>
        <v>7.8526137295261283E-3</v>
      </c>
      <c r="T14" s="7">
        <f>$B14 * IFERROR(VLOOKUP("LULUCF|NOx|Minor restricted activity days", US_national_yearly!$D:$AM, 28, FALSE) / VLOOKUP("LULUCF|NOx|Minor restricted activity days", US_national_yearly!$D:$AM, 10, FALSE), 1)</f>
        <v>7.9087020277714779E-3</v>
      </c>
      <c r="U14" s="7">
        <f>$B14 * IFERROR(VLOOKUP("LULUCF|NOx|Minor restricted activity days", US_national_yearly!$D:$AM, 29, FALSE) / VLOOKUP("LULUCF|NOx|Minor restricted activity days", US_national_yearly!$D:$AM, 10, FALSE), 1)</f>
        <v>7.9647903260168292E-3</v>
      </c>
      <c r="V14" s="7">
        <f>$B14 * IFERROR(VLOOKUP("LULUCF|NOx|Minor restricted activity days", US_national_yearly!$D:$AM, 30, FALSE) / VLOOKUP("LULUCF|NOx|Minor restricted activity days", US_national_yearly!$D:$AM, 10, FALSE), 1)</f>
        <v>8.0208786242621823E-3</v>
      </c>
      <c r="W14" s="7">
        <f>$B14 * IFERROR(VLOOKUP("LULUCF|NOx|Minor restricted activity days", US_national_yearly!$D:$AM, 31, FALSE) / VLOOKUP("LULUCF|NOx|Minor restricted activity days", US_national_yearly!$D:$AM, 10, FALSE), 1)</f>
        <v>8.0769669225075318E-3</v>
      </c>
      <c r="X14" s="7">
        <f>$B14 * IFERROR(VLOOKUP("LULUCF|NOx|Minor restricted activity days", US_national_yearly!$D:$AM, 32, FALSE) / VLOOKUP("LULUCF|NOx|Minor restricted activity days", US_national_yearly!$D:$AM, 10, FALSE), 1)</f>
        <v>8.1243874419437076E-3</v>
      </c>
      <c r="Y14" s="7">
        <f>$B14 * IFERROR(VLOOKUP("LULUCF|NOx|Minor restricted activity days", US_national_yearly!$D:$AM, 33, FALSE) / VLOOKUP("LULUCF|NOx|Minor restricted activity days", US_national_yearly!$D:$AM, 10, FALSE), 1)</f>
        <v>8.1718079613798851E-3</v>
      </c>
      <c r="Z14" s="7">
        <f>$B14 * IFERROR(VLOOKUP("LULUCF|NOx|Minor restricted activity days", US_national_yearly!$D:$AM, 34, FALSE) / VLOOKUP("LULUCF|NOx|Minor restricted activity days", US_national_yearly!$D:$AM, 10, FALSE), 1)</f>
        <v>8.2192284808160626E-3</v>
      </c>
      <c r="AA14" s="7">
        <f>$B14 * IFERROR(VLOOKUP("LULUCF|NOx|Minor restricted activity days", US_national_yearly!$D:$AM, 35, FALSE) / VLOOKUP("LULUCF|NOx|Minor restricted activity days", US_national_yearly!$D:$AM, 10, FALSE), 1)</f>
        <v>8.2666490002522384E-3</v>
      </c>
      <c r="AB14" s="7">
        <f>$B14 * IFERROR(VLOOKUP("LULUCF|NOx|Minor restricted activity days", US_national_yearly!$D:$AM, 36, FALSE) / VLOOKUP("LULUCF|NOx|Minor restricted activity days", US_national_yearly!$D:$AM, 10, FALSE), 1)</f>
        <v>8.3140695196884159E-3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1.2283755971803237E-3</v>
      </c>
      <c r="C15" s="7">
        <f>$B15 * IFERROR(VLOOKUP("LULUCF|NOx|Work loss days", US_national_yearly!$D:$AM, 11, FALSE) / VLOOKUP("LULUCF|NOx|Work loss days", US_national_yearly!$D:$AM, 10, FALSE), 1)</f>
        <v>1.2311080526138185E-3</v>
      </c>
      <c r="D15" s="7">
        <f>$B15 * IFERROR(VLOOKUP("LULUCF|NOx|Work loss days", US_national_yearly!$D:$AM, 12, FALSE) / VLOOKUP("LULUCF|NOx|Work loss days", US_national_yearly!$D:$AM, 10, FALSE), 1)</f>
        <v>1.2338405080473136E-3</v>
      </c>
      <c r="E15" s="7">
        <f>$B15 * IFERROR(VLOOKUP("LULUCF|NOx|Work loss days", US_national_yearly!$D:$AM, 13, FALSE) / VLOOKUP("LULUCF|NOx|Work loss days", US_national_yearly!$D:$AM, 10, FALSE), 1)</f>
        <v>1.2365729634808084E-3</v>
      </c>
      <c r="F15" s="7">
        <f>$B15 * IFERROR(VLOOKUP("LULUCF|NOx|Work loss days", US_national_yearly!$D:$AM, 14, FALSE) / VLOOKUP("LULUCF|NOx|Work loss days", US_national_yearly!$D:$AM, 10, FALSE), 1)</f>
        <v>1.2393054189143034E-3</v>
      </c>
      <c r="G15" s="7">
        <f>$B15 * IFERROR(VLOOKUP("LULUCF|NOx|Work loss days", US_national_yearly!$D:$AM, 15, FALSE) / VLOOKUP("LULUCF|NOx|Work loss days", US_national_yearly!$D:$AM, 10, FALSE), 1)</f>
        <v>1.2432948271562641E-3</v>
      </c>
      <c r="H15" s="7">
        <f>$B15 * IFERROR(VLOOKUP("LULUCF|NOx|Work loss days", US_national_yearly!$D:$AM, 16, FALSE) / VLOOKUP("LULUCF|NOx|Work loss days", US_national_yearly!$D:$AM, 10, FALSE), 1)</f>
        <v>1.247284235398225E-3</v>
      </c>
      <c r="I15" s="7">
        <f>$B15 * IFERROR(VLOOKUP("LULUCF|NOx|Work loss days", US_national_yearly!$D:$AM, 17, FALSE) / VLOOKUP("LULUCF|NOx|Work loss days", US_national_yearly!$D:$AM, 10, FALSE), 1)</f>
        <v>1.2537468605393677E-3</v>
      </c>
      <c r="J15" s="7">
        <f>$B15 * IFERROR(VLOOKUP("LULUCF|NOx|Work loss days", US_national_yearly!$D:$AM, 18, FALSE) / VLOOKUP("LULUCF|NOx|Work loss days", US_national_yearly!$D:$AM, 10, FALSE), 1)</f>
        <v>1.2602094856805105E-3</v>
      </c>
      <c r="K15" s="7">
        <f>$B15 * IFERROR(VLOOKUP("LULUCF|NOx|Work loss days", US_national_yearly!$D:$AM, 19, FALSE) / VLOOKUP("LULUCF|NOx|Work loss days", US_national_yearly!$D:$AM, 10, FALSE), 1)</f>
        <v>1.2666721108216532E-3</v>
      </c>
      <c r="L15" s="7">
        <f>$B15 * IFERROR(VLOOKUP("LULUCF|NOx|Work loss days", US_national_yearly!$D:$AM, 20, FALSE) / VLOOKUP("LULUCF|NOx|Work loss days", US_national_yearly!$D:$AM, 10, FALSE), 1)</f>
        <v>1.2731347359627959E-3</v>
      </c>
      <c r="M15" s="7">
        <f>$B15 * IFERROR(VLOOKUP("LULUCF|NOx|Work loss days", US_national_yearly!$D:$AM, 21, FALSE) / VLOOKUP("LULUCF|NOx|Work loss days", US_national_yearly!$D:$AM, 10, FALSE), 1)</f>
        <v>1.2795973611039388E-3</v>
      </c>
      <c r="N15" s="7">
        <f>$B15 * IFERROR(VLOOKUP("LULUCF|NOx|Work loss days", US_national_yearly!$D:$AM, 22, FALSE) / VLOOKUP("LULUCF|NOx|Work loss days", US_national_yearly!$D:$AM, 10, FALSE), 1)</f>
        <v>1.2880080711607932E-3</v>
      </c>
      <c r="O15" s="7">
        <f>$B15 * IFERROR(VLOOKUP("LULUCF|NOx|Work loss days", US_national_yearly!$D:$AM, 23, FALSE) / VLOOKUP("LULUCF|NOx|Work loss days", US_national_yearly!$D:$AM, 10, FALSE), 1)</f>
        <v>1.2964187812176476E-3</v>
      </c>
      <c r="P15" s="7">
        <f>$B15 * IFERROR(VLOOKUP("LULUCF|NOx|Work loss days", US_national_yearly!$D:$AM, 24, FALSE) / VLOOKUP("LULUCF|NOx|Work loss days", US_national_yearly!$D:$AM, 10, FALSE), 1)</f>
        <v>1.3048294912745022E-3</v>
      </c>
      <c r="Q15" s="7">
        <f>$B15 * IFERROR(VLOOKUP("LULUCF|NOx|Work loss days", US_national_yearly!$D:$AM, 25, FALSE) / VLOOKUP("LULUCF|NOx|Work loss days", US_national_yearly!$D:$AM, 10, FALSE), 1)</f>
        <v>1.3132402013313561E-3</v>
      </c>
      <c r="R15" s="7">
        <f>$B15 * IFERROR(VLOOKUP("LULUCF|NOx|Work loss days", US_national_yearly!$D:$AM, 26, FALSE) / VLOOKUP("LULUCF|NOx|Work loss days", US_national_yearly!$D:$AM, 10, FALSE), 1)</f>
        <v>1.3216509113882109E-3</v>
      </c>
      <c r="S15" s="7">
        <f>$B15 * IFERROR(VLOOKUP("LULUCF|NOx|Work loss days", US_national_yearly!$D:$AM, 27, FALSE) / VLOOKUP("LULUCF|NOx|Work loss days", US_national_yearly!$D:$AM, 10, FALSE), 1)</f>
        <v>1.3310277776913547E-3</v>
      </c>
      <c r="T15" s="7">
        <f>$B15 * IFERROR(VLOOKUP("LULUCF|NOx|Work loss days", US_national_yearly!$D:$AM, 28, FALSE) / VLOOKUP("LULUCF|NOx|Work loss days", US_national_yearly!$D:$AM, 10, FALSE), 1)</f>
        <v>1.3404046439944987E-3</v>
      </c>
      <c r="U15" s="7">
        <f>$B15 * IFERROR(VLOOKUP("LULUCF|NOx|Work loss days", US_national_yearly!$D:$AM, 29, FALSE) / VLOOKUP("LULUCF|NOx|Work loss days", US_national_yearly!$D:$AM, 10, FALSE), 1)</f>
        <v>1.3497815102976425E-3</v>
      </c>
      <c r="V15" s="7">
        <f>$B15 * IFERROR(VLOOKUP("LULUCF|NOx|Work loss days", US_national_yearly!$D:$AM, 30, FALSE) / VLOOKUP("LULUCF|NOx|Work loss days", US_national_yearly!$D:$AM, 10, FALSE), 1)</f>
        <v>1.3591583766007864E-3</v>
      </c>
      <c r="W15" s="7">
        <f>$B15 * IFERROR(VLOOKUP("LULUCF|NOx|Work loss days", US_national_yearly!$D:$AM, 31, FALSE) / VLOOKUP("LULUCF|NOx|Work loss days", US_national_yearly!$D:$AM, 10, FALSE), 1)</f>
        <v>1.3685352429039304E-3</v>
      </c>
      <c r="X15" s="7">
        <f>$B15 * IFERROR(VLOOKUP("LULUCF|NOx|Work loss days", US_national_yearly!$D:$AM, 32, FALSE) / VLOOKUP("LULUCF|NOx|Work loss days", US_national_yearly!$D:$AM, 10, FALSE), 1)</f>
        <v>1.3766738629111112E-3</v>
      </c>
      <c r="Y15" s="7">
        <f>$B15 * IFERROR(VLOOKUP("LULUCF|NOx|Work loss days", US_national_yearly!$D:$AM, 33, FALSE) / VLOOKUP("LULUCF|NOx|Work loss days", US_national_yearly!$D:$AM, 10, FALSE), 1)</f>
        <v>1.384812482918292E-3</v>
      </c>
      <c r="Z15" s="7">
        <f>$B15 * IFERROR(VLOOKUP("LULUCF|NOx|Work loss days", US_national_yearly!$D:$AM, 34, FALSE) / VLOOKUP("LULUCF|NOx|Work loss days", US_national_yearly!$D:$AM, 10, FALSE), 1)</f>
        <v>1.3929511029254727E-3</v>
      </c>
      <c r="AA15" s="7">
        <f>$B15 * IFERROR(VLOOKUP("LULUCF|NOx|Work loss days", US_national_yearly!$D:$AM, 35, FALSE) / VLOOKUP("LULUCF|NOx|Work loss days", US_national_yearly!$D:$AM, 10, FALSE), 1)</f>
        <v>1.4010897229326537E-3</v>
      </c>
      <c r="AB15" s="7">
        <f>$B15 * IFERROR(VLOOKUP("LULUCF|NOx|Work loss days", US_national_yearly!$D:$AM, 36, FALSE) / VLOOKUP("LULUCF|NOx|Work loss days", US_national_yearly!$D:$AM, 10, FALSE), 1)</f>
        <v>1.4092283429398345E-3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1.5247952457543913E-6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1.5696007924939685E-6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1.6144063392335454E-6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1.6592118859731222E-6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1.7040174327126995E-6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1.7465752924159947E-6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1.7891331521192903E-6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1.8249210289761974E-6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1.8607089058331042E-6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1.896496782690011E-6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1.9322846595469178E-6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1.9680725364038252E-6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1.9904518816260836E-6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2.0128312268483425E-6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2.0352105720706009E-6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2.0575899172928597E-6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2.0799692625151181E-6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2.0901803431924572E-6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2.1003914238697963E-6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2.1106025045471354E-6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2.1208135852244745E-6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2.1310246659018135E-6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2.1367074863129868E-6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2.1423903067241604E-6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2.1480731271353337E-6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2.1537559475465074E-6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2.1594387679576806E-6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2.1905655147237538E-5</v>
      </c>
      <c r="C2" s="7">
        <f>$B2 * IFERROR(VLOOKUP("LULUCF|SO2|Premature mortality", US_national_yearly!$D:$AM, 11, FALSE) / VLOOKUP("LULUCF|SO2|Premature mortality", US_national_yearly!$D:$AM, 10, FALSE), 1)</f>
        <v>2.2183078417306466E-5</v>
      </c>
      <c r="D2" s="7">
        <f>$B2 * IFERROR(VLOOKUP("LULUCF|SO2|Premature mortality", US_national_yearly!$D:$AM, 12, FALSE) / VLOOKUP("LULUCF|SO2|Premature mortality", US_national_yearly!$D:$AM, 10, FALSE), 1)</f>
        <v>2.2460501687375398E-5</v>
      </c>
      <c r="E2" s="7">
        <f>$B2 * IFERROR(VLOOKUP("LULUCF|SO2|Premature mortality", US_national_yearly!$D:$AM, 13, FALSE) / VLOOKUP("LULUCF|SO2|Premature mortality", US_national_yearly!$D:$AM, 10, FALSE), 1)</f>
        <v>2.2737924957444326E-5</v>
      </c>
      <c r="F2" s="7">
        <f>$B2 * IFERROR(VLOOKUP("LULUCF|SO2|Premature mortality", US_national_yearly!$D:$AM, 14, FALSE) / VLOOKUP("LULUCF|SO2|Premature mortality", US_national_yearly!$D:$AM, 10, FALSE), 1)</f>
        <v>2.3015348227513254E-5</v>
      </c>
      <c r="G2" s="7">
        <f>$B2 * IFERROR(VLOOKUP("LULUCF|SO2|Premature mortality", US_national_yearly!$D:$AM, 15, FALSE) / VLOOKUP("LULUCF|SO2|Premature mortality", US_national_yearly!$D:$AM, 10, FALSE), 1)</f>
        <v>2.35499271462908E-5</v>
      </c>
      <c r="H2" s="7">
        <f>$B2 * IFERROR(VLOOKUP("LULUCF|SO2|Premature mortality", US_national_yearly!$D:$AM, 16, FALSE) / VLOOKUP("LULUCF|SO2|Premature mortality", US_national_yearly!$D:$AM, 10, FALSE), 1)</f>
        <v>2.4084506065068342E-5</v>
      </c>
      <c r="I2" s="7">
        <f>$B2 * IFERROR(VLOOKUP("LULUCF|SO2|Premature mortality", US_national_yearly!$D:$AM, 17, FALSE) / VLOOKUP("LULUCF|SO2|Premature mortality", US_national_yearly!$D:$AM, 10, FALSE), 1)</f>
        <v>2.4437788570395597E-5</v>
      </c>
      <c r="J2" s="7">
        <f>$B2 * IFERROR(VLOOKUP("LULUCF|SO2|Premature mortality", US_national_yearly!$D:$AM, 18, FALSE) / VLOOKUP("LULUCF|SO2|Premature mortality", US_national_yearly!$D:$AM, 10, FALSE), 1)</f>
        <v>2.4791071075722853E-5</v>
      </c>
      <c r="K2" s="7">
        <f>$B2 * IFERROR(VLOOKUP("LULUCF|SO2|Premature mortality", US_national_yearly!$D:$AM, 19, FALSE) / VLOOKUP("LULUCF|SO2|Premature mortality", US_national_yearly!$D:$AM, 10, FALSE), 1)</f>
        <v>2.5144353581050105E-5</v>
      </c>
      <c r="L2" s="7">
        <f>$B2 * IFERROR(VLOOKUP("LULUCF|SO2|Premature mortality", US_national_yearly!$D:$AM, 20, FALSE) / VLOOKUP("LULUCF|SO2|Premature mortality", US_national_yearly!$D:$AM, 10, FALSE), 1)</f>
        <v>2.549763608637736E-5</v>
      </c>
      <c r="M2" s="7">
        <f>$B2 * IFERROR(VLOOKUP("LULUCF|SO2|Premature mortality", US_national_yearly!$D:$AM, 21, FALSE) / VLOOKUP("LULUCF|SO2|Premature mortality", US_national_yearly!$D:$AM, 10, FALSE), 1)</f>
        <v>2.5850918591704619E-5</v>
      </c>
      <c r="N2" s="7">
        <f>$B2 * IFERROR(VLOOKUP("LULUCF|SO2|Premature mortality", US_national_yearly!$D:$AM, 22, FALSE) / VLOOKUP("LULUCF|SO2|Premature mortality", US_national_yearly!$D:$AM, 10, FALSE), 1)</f>
        <v>2.6126954378360944E-5</v>
      </c>
      <c r="O2" s="7">
        <f>$B2 * IFERROR(VLOOKUP("LULUCF|SO2|Premature mortality", US_national_yearly!$D:$AM, 23, FALSE) / VLOOKUP("LULUCF|SO2|Premature mortality", US_national_yearly!$D:$AM, 10, FALSE), 1)</f>
        <v>2.6402990165017269E-5</v>
      </c>
      <c r="P2" s="7">
        <f>$B2 * IFERROR(VLOOKUP("LULUCF|SO2|Premature mortality", US_national_yearly!$D:$AM, 24, FALSE) / VLOOKUP("LULUCF|SO2|Premature mortality", US_national_yearly!$D:$AM, 10, FALSE), 1)</f>
        <v>2.6679025951673593E-5</v>
      </c>
      <c r="Q2" s="7">
        <f>$B2 * IFERROR(VLOOKUP("LULUCF|SO2|Premature mortality", US_national_yearly!$D:$AM, 25, FALSE) / VLOOKUP("LULUCF|SO2|Premature mortality", US_national_yearly!$D:$AM, 10, FALSE), 1)</f>
        <v>2.6955061738329918E-5</v>
      </c>
      <c r="R2" s="7">
        <f>$B2 * IFERROR(VLOOKUP("LULUCF|SO2|Premature mortality", US_national_yearly!$D:$AM, 26, FALSE) / VLOOKUP("LULUCF|SO2|Premature mortality", US_national_yearly!$D:$AM, 10, FALSE), 1)</f>
        <v>2.7231097524986236E-5</v>
      </c>
      <c r="S2" s="7">
        <f>$B2 * IFERROR(VLOOKUP("LULUCF|SO2|Premature mortality", US_national_yearly!$D:$AM, 27, FALSE) / VLOOKUP("LULUCF|SO2|Premature mortality", US_national_yearly!$D:$AM, 10, FALSE), 1)</f>
        <v>2.7378918364212199E-5</v>
      </c>
      <c r="T2" s="7">
        <f>$B2 * IFERROR(VLOOKUP("LULUCF|SO2|Premature mortality", US_national_yearly!$D:$AM, 28, FALSE) / VLOOKUP("LULUCF|SO2|Premature mortality", US_national_yearly!$D:$AM, 10, FALSE), 1)</f>
        <v>2.7526739203438156E-5</v>
      </c>
      <c r="U2" s="7">
        <f>$B2 * IFERROR(VLOOKUP("LULUCF|SO2|Premature mortality", US_national_yearly!$D:$AM, 29, FALSE) / VLOOKUP("LULUCF|SO2|Premature mortality", US_national_yearly!$D:$AM, 10, FALSE), 1)</f>
        <v>2.7674560042664113E-5</v>
      </c>
      <c r="V2" s="7">
        <f>$B2 * IFERROR(VLOOKUP("LULUCF|SO2|Premature mortality", US_national_yearly!$D:$AM, 30, FALSE) / VLOOKUP("LULUCF|SO2|Premature mortality", US_national_yearly!$D:$AM, 10, FALSE), 1)</f>
        <v>2.7822380881890069E-5</v>
      </c>
      <c r="W2" s="7">
        <f>$B2 * IFERROR(VLOOKUP("LULUCF|SO2|Premature mortality", US_national_yearly!$D:$AM, 31, FALSE) / VLOOKUP("LULUCF|SO2|Premature mortality", US_national_yearly!$D:$AM, 10, FALSE), 1)</f>
        <v>2.7970201721116029E-5</v>
      </c>
      <c r="X2" s="7">
        <f>$B2 * IFERROR(VLOOKUP("LULUCF|SO2|Premature mortality", US_national_yearly!$D:$AM, 32, FALSE) / VLOOKUP("LULUCF|SO2|Premature mortality", US_national_yearly!$D:$AM, 10, FALSE), 1)</f>
        <v>2.8000231976754727E-5</v>
      </c>
      <c r="Y2" s="7">
        <f>$B2 * IFERROR(VLOOKUP("LULUCF|SO2|Premature mortality", US_national_yearly!$D:$AM, 33, FALSE) / VLOOKUP("LULUCF|SO2|Premature mortality", US_national_yearly!$D:$AM, 10, FALSE), 1)</f>
        <v>2.8030262232393427E-5</v>
      </c>
      <c r="Z2" s="7">
        <f>$B2 * IFERROR(VLOOKUP("LULUCF|SO2|Premature mortality", US_national_yearly!$D:$AM, 34, FALSE) / VLOOKUP("LULUCF|SO2|Premature mortality", US_national_yearly!$D:$AM, 10, FALSE), 1)</f>
        <v>2.8060292488032128E-5</v>
      </c>
      <c r="AA2" s="7">
        <f>$B2 * IFERROR(VLOOKUP("LULUCF|SO2|Premature mortality", US_national_yearly!$D:$AM, 35, FALSE) / VLOOKUP("LULUCF|SO2|Premature mortality", US_national_yearly!$D:$AM, 10, FALSE), 1)</f>
        <v>2.8090322743670829E-5</v>
      </c>
      <c r="AB2" s="7">
        <f>$B2 * IFERROR(VLOOKUP("LULUCF|SO2|Premature mortality", US_national_yearly!$D:$AM, 36, FALSE) / VLOOKUP("LULUCF|SO2|Premature mortality", US_national_yearly!$D:$AM, 10, FALSE), 1)</f>
        <v>2.8120352999309527E-5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5.6708508720691813E-8</v>
      </c>
      <c r="C3" s="7">
        <f>$B3 * IFERROR(VLOOKUP("LULUCF|SO2|Infant mortality", US_national_yearly!$D:$AM, 11, FALSE) / VLOOKUP("LULUCF|SO2|Infant mortality", US_national_yearly!$D:$AM, 10, FALSE), 1)</f>
        <v>5.622137228683316E-8</v>
      </c>
      <c r="D3" s="7">
        <f>$B3 * IFERROR(VLOOKUP("LULUCF|SO2|Infant mortality", US_national_yearly!$D:$AM, 12, FALSE) / VLOOKUP("LULUCF|SO2|Infant mortality", US_national_yearly!$D:$AM, 10, FALSE), 1)</f>
        <v>5.5734235852974513E-8</v>
      </c>
      <c r="E3" s="7">
        <f>$B3 * IFERROR(VLOOKUP("LULUCF|SO2|Infant mortality", US_national_yearly!$D:$AM, 13, FALSE) / VLOOKUP("LULUCF|SO2|Infant mortality", US_national_yearly!$D:$AM, 10, FALSE), 1)</f>
        <v>5.5247099419115846E-8</v>
      </c>
      <c r="F3" s="7">
        <f>$B3 * IFERROR(VLOOKUP("LULUCF|SO2|Infant mortality", US_national_yearly!$D:$AM, 14, FALSE) / VLOOKUP("LULUCF|SO2|Infant mortality", US_national_yearly!$D:$AM, 10, FALSE), 1)</f>
        <v>5.47599629852572E-8</v>
      </c>
      <c r="G3" s="7">
        <f>$B3 * IFERROR(VLOOKUP("LULUCF|SO2|Infant mortality", US_national_yearly!$D:$AM, 15, FALSE) / VLOOKUP("LULUCF|SO2|Infant mortality", US_national_yearly!$D:$AM, 10, FALSE), 1)</f>
        <v>3.6474545802158708E-8</v>
      </c>
      <c r="H3" s="7">
        <f>$B3 * IFERROR(VLOOKUP("LULUCF|SO2|Infant mortality", US_national_yearly!$D:$AM, 16, FALSE) / VLOOKUP("LULUCF|SO2|Infant mortality", US_national_yearly!$D:$AM, 10, FALSE), 1)</f>
        <v>1.8189128619060239E-8</v>
      </c>
      <c r="I3" s="7">
        <f>$B3 * IFERROR(VLOOKUP("LULUCF|SO2|Infant mortality", US_national_yearly!$D:$AM, 17, FALSE) / VLOOKUP("LULUCF|SO2|Infant mortality", US_national_yearly!$D:$AM, 10, FALSE), 1)</f>
        <v>1.8075022722587616E-8</v>
      </c>
      <c r="J3" s="7">
        <f>$B3 * IFERROR(VLOOKUP("LULUCF|SO2|Infant mortality", US_national_yearly!$D:$AM, 18, FALSE) / VLOOKUP("LULUCF|SO2|Infant mortality", US_national_yearly!$D:$AM, 10, FALSE), 1)</f>
        <v>1.7960916826114993E-8</v>
      </c>
      <c r="K3" s="7">
        <f>$B3 * IFERROR(VLOOKUP("LULUCF|SO2|Infant mortality", US_national_yearly!$D:$AM, 19, FALSE) / VLOOKUP("LULUCF|SO2|Infant mortality", US_national_yearly!$D:$AM, 10, FALSE), 1)</f>
        <v>1.784681092964237E-8</v>
      </c>
      <c r="L3" s="7">
        <f>$B3 * IFERROR(VLOOKUP("LULUCF|SO2|Infant mortality", US_national_yearly!$D:$AM, 20, FALSE) / VLOOKUP("LULUCF|SO2|Infant mortality", US_national_yearly!$D:$AM, 10, FALSE), 1)</f>
        <v>1.773270503316975E-8</v>
      </c>
      <c r="M3" s="7">
        <f>$B3 * IFERROR(VLOOKUP("LULUCF|SO2|Infant mortality", US_national_yearly!$D:$AM, 21, FALSE) / VLOOKUP("LULUCF|SO2|Infant mortality", US_national_yearly!$D:$AM, 10, FALSE), 1)</f>
        <v>1.7618599136697123E-8</v>
      </c>
      <c r="N3" s="7">
        <f>$B3 * IFERROR(VLOOKUP("LULUCF|SO2|Infant mortality", US_national_yearly!$D:$AM, 22, FALSE) / VLOOKUP("LULUCF|SO2|Infant mortality", US_national_yearly!$D:$AM, 10, FALSE), 1)</f>
        <v>1.7546975719753565E-8</v>
      </c>
      <c r="O3" s="7">
        <f>$B3 * IFERROR(VLOOKUP("LULUCF|SO2|Infant mortality", US_national_yearly!$D:$AM, 23, FALSE) / VLOOKUP("LULUCF|SO2|Infant mortality", US_national_yearly!$D:$AM, 10, FALSE), 1)</f>
        <v>1.7475352302810003E-8</v>
      </c>
      <c r="P3" s="7">
        <f>$B3 * IFERROR(VLOOKUP("LULUCF|SO2|Infant mortality", US_national_yearly!$D:$AM, 24, FALSE) / VLOOKUP("LULUCF|SO2|Infant mortality", US_national_yearly!$D:$AM, 10, FALSE), 1)</f>
        <v>1.7403728885866441E-8</v>
      </c>
      <c r="Q3" s="7">
        <f>$B3 * IFERROR(VLOOKUP("LULUCF|SO2|Infant mortality", US_national_yearly!$D:$AM, 25, FALSE) / VLOOKUP("LULUCF|SO2|Infant mortality", US_national_yearly!$D:$AM, 10, FALSE), 1)</f>
        <v>1.7332105468922879E-8</v>
      </c>
      <c r="R3" s="7">
        <f>$B3 * IFERROR(VLOOKUP("LULUCF|SO2|Infant mortality", US_national_yearly!$D:$AM, 26, FALSE) / VLOOKUP("LULUCF|SO2|Infant mortality", US_national_yearly!$D:$AM, 10, FALSE), 1)</f>
        <v>1.7260482051979317E-8</v>
      </c>
      <c r="S3" s="7">
        <f>$B3 * IFERROR(VLOOKUP("LULUCF|SO2|Infant mortality", US_national_yearly!$D:$AM, 27, FALSE) / VLOOKUP("LULUCF|SO2|Infant mortality", US_national_yearly!$D:$AM, 10, FALSE), 1)</f>
        <v>1.7170554488614713E-8</v>
      </c>
      <c r="T3" s="7">
        <f>$B3 * IFERROR(VLOOKUP("LULUCF|SO2|Infant mortality", US_national_yearly!$D:$AM, 28, FALSE) / VLOOKUP("LULUCF|SO2|Infant mortality", US_national_yearly!$D:$AM, 10, FALSE), 1)</f>
        <v>1.7080626925250109E-8</v>
      </c>
      <c r="U3" s="7">
        <f>$B3 * IFERROR(VLOOKUP("LULUCF|SO2|Infant mortality", US_national_yearly!$D:$AM, 29, FALSE) / VLOOKUP("LULUCF|SO2|Infant mortality", US_national_yearly!$D:$AM, 10, FALSE), 1)</f>
        <v>1.6990699361885502E-8</v>
      </c>
      <c r="V3" s="7">
        <f>$B3 * IFERROR(VLOOKUP("LULUCF|SO2|Infant mortality", US_national_yearly!$D:$AM, 30, FALSE) / VLOOKUP("LULUCF|SO2|Infant mortality", US_national_yearly!$D:$AM, 10, FALSE), 1)</f>
        <v>1.6900771798520902E-8</v>
      </c>
      <c r="W3" s="7">
        <f>$B3 * IFERROR(VLOOKUP("LULUCF|SO2|Infant mortality", US_national_yearly!$D:$AM, 31, FALSE) / VLOOKUP("LULUCF|SO2|Infant mortality", US_national_yearly!$D:$AM, 10, FALSE), 1)</f>
        <v>1.6810844235156295E-8</v>
      </c>
      <c r="X3" s="7">
        <f>$B3 * IFERROR(VLOOKUP("LULUCF|SO2|Infant mortality", US_national_yearly!$D:$AM, 32, FALSE) / VLOOKUP("LULUCF|SO2|Infant mortality", US_national_yearly!$D:$AM, 10, FALSE), 1)</f>
        <v>1.6712525650271488E-8</v>
      </c>
      <c r="Y3" s="7">
        <f>$B3 * IFERROR(VLOOKUP("LULUCF|SO2|Infant mortality", US_national_yearly!$D:$AM, 33, FALSE) / VLOOKUP("LULUCF|SO2|Infant mortality", US_national_yearly!$D:$AM, 10, FALSE), 1)</f>
        <v>1.6614207065386677E-8</v>
      </c>
      <c r="Z3" s="7">
        <f>$B3 * IFERROR(VLOOKUP("LULUCF|SO2|Infant mortality", US_national_yearly!$D:$AM, 34, FALSE) / VLOOKUP("LULUCF|SO2|Infant mortality", US_national_yearly!$D:$AM, 10, FALSE), 1)</f>
        <v>1.651588848050187E-8</v>
      </c>
      <c r="AA3" s="7">
        <f>$B3 * IFERROR(VLOOKUP("LULUCF|SO2|Infant mortality", US_national_yearly!$D:$AM, 35, FALSE) / VLOOKUP("LULUCF|SO2|Infant mortality", US_national_yearly!$D:$AM, 10, FALSE), 1)</f>
        <v>1.6417569895617057E-8</v>
      </c>
      <c r="AB3" s="7">
        <f>$B3 * IFERROR(VLOOKUP("LULUCF|SO2|Infant mortality", US_national_yearly!$D:$AM, 36, FALSE) / VLOOKUP("LULUCF|SO2|Infant mortality", US_national_yearly!$D:$AM, 10, FALSE), 1)</f>
        <v>1.6319251310732249E-8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6.6932235145250455E-5</v>
      </c>
      <c r="C6" s="7">
        <f>$B6 * IFERROR(VLOOKUP("LULUCF|SO2|Asthma symptoms cough", US_national_yearly!$D:$AM, 11, FALSE) / VLOOKUP("LULUCF|SO2|Asthma symptoms cough", US_national_yearly!$D:$AM, 10, FALSE), 1)</f>
        <v>6.6932235145250455E-5</v>
      </c>
      <c r="D6" s="7">
        <f>$B6 * IFERROR(VLOOKUP("LULUCF|SO2|Asthma symptoms cough", US_national_yearly!$D:$AM, 12, FALSE) / VLOOKUP("LULUCF|SO2|Asthma symptoms cough", US_national_yearly!$D:$AM, 10, FALSE), 1)</f>
        <v>6.6932235145250455E-5</v>
      </c>
      <c r="E6" s="7">
        <f>$B6 * IFERROR(VLOOKUP("LULUCF|SO2|Asthma symptoms cough", US_national_yearly!$D:$AM, 13, FALSE) / VLOOKUP("LULUCF|SO2|Asthma symptoms cough", US_national_yearly!$D:$AM, 10, FALSE), 1)</f>
        <v>6.6932235145250455E-5</v>
      </c>
      <c r="F6" s="7">
        <f>$B6 * IFERROR(VLOOKUP("LULUCF|SO2|Asthma symptoms cough", US_national_yearly!$D:$AM, 14, FALSE) / VLOOKUP("LULUCF|SO2|Asthma symptoms cough", US_national_yearly!$D:$AM, 10, FALSE), 1)</f>
        <v>6.6932235145250455E-5</v>
      </c>
      <c r="G6" s="7">
        <f>$B6 * IFERROR(VLOOKUP("LULUCF|SO2|Asthma symptoms cough", US_national_yearly!$D:$AM, 15, FALSE) / VLOOKUP("LULUCF|SO2|Asthma symptoms cough", US_national_yearly!$D:$AM, 10, FALSE), 1)</f>
        <v>6.6932235145250455E-5</v>
      </c>
      <c r="H6" s="7">
        <f>$B6 * IFERROR(VLOOKUP("LULUCF|SO2|Asthma symptoms cough", US_national_yearly!$D:$AM, 16, FALSE) / VLOOKUP("LULUCF|SO2|Asthma symptoms cough", US_national_yearly!$D:$AM, 10, FALSE), 1)</f>
        <v>6.6932235145250455E-5</v>
      </c>
      <c r="I6" s="7">
        <f>$B6 * IFERROR(VLOOKUP("LULUCF|SO2|Asthma symptoms cough", US_national_yearly!$D:$AM, 17, FALSE) / VLOOKUP("LULUCF|SO2|Asthma symptoms cough", US_national_yearly!$D:$AM, 10, FALSE), 1)</f>
        <v>6.6932235145250455E-5</v>
      </c>
      <c r="J6" s="7">
        <f>$B6 * IFERROR(VLOOKUP("LULUCF|SO2|Asthma symptoms cough", US_national_yearly!$D:$AM, 18, FALSE) / VLOOKUP("LULUCF|SO2|Asthma symptoms cough", US_national_yearly!$D:$AM, 10, FALSE), 1)</f>
        <v>6.6932235145250455E-5</v>
      </c>
      <c r="K6" s="7">
        <f>$B6 * IFERROR(VLOOKUP("LULUCF|SO2|Asthma symptoms cough", US_national_yearly!$D:$AM, 19, FALSE) / VLOOKUP("LULUCF|SO2|Asthma symptoms cough", US_national_yearly!$D:$AM, 10, FALSE), 1)</f>
        <v>6.6932235145250455E-5</v>
      </c>
      <c r="L6" s="7">
        <f>$B6 * IFERROR(VLOOKUP("LULUCF|SO2|Asthma symptoms cough", US_national_yearly!$D:$AM, 20, FALSE) / VLOOKUP("LULUCF|SO2|Asthma symptoms cough", US_national_yearly!$D:$AM, 10, FALSE), 1)</f>
        <v>6.6932235145250455E-5</v>
      </c>
      <c r="M6" s="7">
        <f>$B6 * IFERROR(VLOOKUP("LULUCF|SO2|Asthma symptoms cough", US_national_yearly!$D:$AM, 21, FALSE) / VLOOKUP("LULUCF|SO2|Asthma symptoms cough", US_national_yearly!$D:$AM, 10, FALSE), 1)</f>
        <v>6.6932235145250455E-5</v>
      </c>
      <c r="N6" s="7">
        <f>$B6 * IFERROR(VLOOKUP("LULUCF|SO2|Asthma symptoms cough", US_national_yearly!$D:$AM, 22, FALSE) / VLOOKUP("LULUCF|SO2|Asthma symptoms cough", US_national_yearly!$D:$AM, 10, FALSE), 1)</f>
        <v>6.6932235145250455E-5</v>
      </c>
      <c r="O6" s="7">
        <f>$B6 * IFERROR(VLOOKUP("LULUCF|SO2|Asthma symptoms cough", US_national_yearly!$D:$AM, 23, FALSE) / VLOOKUP("LULUCF|SO2|Asthma symptoms cough", US_national_yearly!$D:$AM, 10, FALSE), 1)</f>
        <v>6.6932235145250455E-5</v>
      </c>
      <c r="P6" s="7">
        <f>$B6 * IFERROR(VLOOKUP("LULUCF|SO2|Asthma symptoms cough", US_national_yearly!$D:$AM, 24, FALSE) / VLOOKUP("LULUCF|SO2|Asthma symptoms cough", US_national_yearly!$D:$AM, 10, FALSE), 1)</f>
        <v>6.6932235145250455E-5</v>
      </c>
      <c r="Q6" s="7">
        <f>$B6 * IFERROR(VLOOKUP("LULUCF|SO2|Asthma symptoms cough", US_national_yearly!$D:$AM, 25, FALSE) / VLOOKUP("LULUCF|SO2|Asthma symptoms cough", US_national_yearly!$D:$AM, 10, FALSE), 1)</f>
        <v>6.6932235145250455E-5</v>
      </c>
      <c r="R6" s="7">
        <f>$B6 * IFERROR(VLOOKUP("LULUCF|SO2|Asthma symptoms cough", US_national_yearly!$D:$AM, 26, FALSE) / VLOOKUP("LULUCF|SO2|Asthma symptoms cough", US_national_yearly!$D:$AM, 10, FALSE), 1)</f>
        <v>6.6932235145250455E-5</v>
      </c>
      <c r="S6" s="7">
        <f>$B6 * IFERROR(VLOOKUP("LULUCF|SO2|Asthma symptoms cough", US_national_yearly!$D:$AM, 27, FALSE) / VLOOKUP("LULUCF|SO2|Asthma symptoms cough", US_national_yearly!$D:$AM, 10, FALSE), 1)</f>
        <v>6.6932235145250455E-5</v>
      </c>
      <c r="T6" s="7">
        <f>$B6 * IFERROR(VLOOKUP("LULUCF|SO2|Asthma symptoms cough", US_national_yearly!$D:$AM, 28, FALSE) / VLOOKUP("LULUCF|SO2|Asthma symptoms cough", US_national_yearly!$D:$AM, 10, FALSE), 1)</f>
        <v>6.6932235145250455E-5</v>
      </c>
      <c r="U6" s="7">
        <f>$B6 * IFERROR(VLOOKUP("LULUCF|SO2|Asthma symptoms cough", US_national_yearly!$D:$AM, 29, FALSE) / VLOOKUP("LULUCF|SO2|Asthma symptoms cough", US_national_yearly!$D:$AM, 10, FALSE), 1)</f>
        <v>6.6932235145250455E-5</v>
      </c>
      <c r="V6" s="7">
        <f>$B6 * IFERROR(VLOOKUP("LULUCF|SO2|Asthma symptoms cough", US_national_yearly!$D:$AM, 30, FALSE) / VLOOKUP("LULUCF|SO2|Asthma symptoms cough", US_national_yearly!$D:$AM, 10, FALSE), 1)</f>
        <v>6.6932235145250455E-5</v>
      </c>
      <c r="W6" s="7">
        <f>$B6 * IFERROR(VLOOKUP("LULUCF|SO2|Asthma symptoms cough", US_national_yearly!$D:$AM, 31, FALSE) / VLOOKUP("LULUCF|SO2|Asthma symptoms cough", US_national_yearly!$D:$AM, 10, FALSE), 1)</f>
        <v>6.6932235145250455E-5</v>
      </c>
      <c r="X6" s="7">
        <f>$B6 * IFERROR(VLOOKUP("LULUCF|SO2|Asthma symptoms cough", US_national_yearly!$D:$AM, 32, FALSE) / VLOOKUP("LULUCF|SO2|Asthma symptoms cough", US_national_yearly!$D:$AM, 10, FALSE), 1)</f>
        <v>6.6932235145250455E-5</v>
      </c>
      <c r="Y6" s="7">
        <f>$B6 * IFERROR(VLOOKUP("LULUCF|SO2|Asthma symptoms cough", US_national_yearly!$D:$AM, 33, FALSE) / VLOOKUP("LULUCF|SO2|Asthma symptoms cough", US_national_yearly!$D:$AM, 10, FALSE), 1)</f>
        <v>6.6932235145250455E-5</v>
      </c>
      <c r="Z6" s="7">
        <f>$B6 * IFERROR(VLOOKUP("LULUCF|SO2|Asthma symptoms cough", US_national_yearly!$D:$AM, 34, FALSE) / VLOOKUP("LULUCF|SO2|Asthma symptoms cough", US_national_yearly!$D:$AM, 10, FALSE), 1)</f>
        <v>6.6932235145250455E-5</v>
      </c>
      <c r="AA6" s="7">
        <f>$B6 * IFERROR(VLOOKUP("LULUCF|SO2|Asthma symptoms cough", US_national_yearly!$D:$AM, 35, FALSE) / VLOOKUP("LULUCF|SO2|Asthma symptoms cough", US_national_yearly!$D:$AM, 10, FALSE), 1)</f>
        <v>6.6932235145250455E-5</v>
      </c>
      <c r="AB6" s="7">
        <f>$B6 * IFERROR(VLOOKUP("LULUCF|SO2|Asthma symptoms cough", US_national_yearly!$D:$AM, 36, FALSE) / VLOOKUP("LULUCF|SO2|Asthma symptoms cough", US_national_yearly!$D:$AM, 10, FALSE), 1)</f>
        <v>6.6932235145250455E-5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9.0133324227438855E-5</v>
      </c>
      <c r="C7" s="7">
        <f>$B7 * IFERROR(VLOOKUP("LULUCF|SO2|Asthma symptoms shortness of breath", US_national_yearly!$D:$AM, 11, FALSE) / VLOOKUP("LULUCF|SO2|Asthma symptoms shortness of breath", US_national_yearly!$D:$AM, 10, FALSE), 1)</f>
        <v>9.0133324227438855E-5</v>
      </c>
      <c r="D7" s="7">
        <f>$B7 * IFERROR(VLOOKUP("LULUCF|SO2|Asthma symptoms shortness of breath", US_national_yearly!$D:$AM, 12, FALSE) / VLOOKUP("LULUCF|SO2|Asthma symptoms shortness of breath", US_national_yearly!$D:$AM, 10, FALSE), 1)</f>
        <v>9.0133324227438855E-5</v>
      </c>
      <c r="E7" s="7">
        <f>$B7 * IFERROR(VLOOKUP("LULUCF|SO2|Asthma symptoms shortness of breath", US_national_yearly!$D:$AM, 13, FALSE) / VLOOKUP("LULUCF|SO2|Asthma symptoms shortness of breath", US_national_yearly!$D:$AM, 10, FALSE), 1)</f>
        <v>9.0133324227438855E-5</v>
      </c>
      <c r="F7" s="7">
        <f>$B7 * IFERROR(VLOOKUP("LULUCF|SO2|Asthma symptoms shortness of breath", US_national_yearly!$D:$AM, 14, FALSE) / VLOOKUP("LULUCF|SO2|Asthma symptoms shortness of breath", US_national_yearly!$D:$AM, 10, FALSE), 1)</f>
        <v>9.0133324227438855E-5</v>
      </c>
      <c r="G7" s="7">
        <f>$B7 * IFERROR(VLOOKUP("LULUCF|SO2|Asthma symptoms shortness of breath", US_national_yearly!$D:$AM, 15, FALSE) / VLOOKUP("LULUCF|SO2|Asthma symptoms shortness of breath", US_national_yearly!$D:$AM, 10, FALSE), 1)</f>
        <v>9.0133324227438855E-5</v>
      </c>
      <c r="H7" s="7">
        <f>$B7 * IFERROR(VLOOKUP("LULUCF|SO2|Asthma symptoms shortness of breath", US_national_yearly!$D:$AM, 16, FALSE) / VLOOKUP("LULUCF|SO2|Asthma symptoms shortness of breath", US_national_yearly!$D:$AM, 10, FALSE), 1)</f>
        <v>9.0133324227438855E-5</v>
      </c>
      <c r="I7" s="7">
        <f>$B7 * IFERROR(VLOOKUP("LULUCF|SO2|Asthma symptoms shortness of breath", US_national_yearly!$D:$AM, 17, FALSE) / VLOOKUP("LULUCF|SO2|Asthma symptoms shortness of breath", US_national_yearly!$D:$AM, 10, FALSE), 1)</f>
        <v>9.0133324227438855E-5</v>
      </c>
      <c r="J7" s="7">
        <f>$B7 * IFERROR(VLOOKUP("LULUCF|SO2|Asthma symptoms shortness of breath", US_national_yearly!$D:$AM, 18, FALSE) / VLOOKUP("LULUCF|SO2|Asthma symptoms shortness of breath", US_national_yearly!$D:$AM, 10, FALSE), 1)</f>
        <v>9.0133324227438855E-5</v>
      </c>
      <c r="K7" s="7">
        <f>$B7 * IFERROR(VLOOKUP("LULUCF|SO2|Asthma symptoms shortness of breath", US_national_yearly!$D:$AM, 19, FALSE) / VLOOKUP("LULUCF|SO2|Asthma symptoms shortness of breath", US_national_yearly!$D:$AM, 10, FALSE), 1)</f>
        <v>9.0133324227438855E-5</v>
      </c>
      <c r="L7" s="7">
        <f>$B7 * IFERROR(VLOOKUP("LULUCF|SO2|Asthma symptoms shortness of breath", US_national_yearly!$D:$AM, 20, FALSE) / VLOOKUP("LULUCF|SO2|Asthma symptoms shortness of breath", US_national_yearly!$D:$AM, 10, FALSE), 1)</f>
        <v>9.0133324227438855E-5</v>
      </c>
      <c r="M7" s="7">
        <f>$B7 * IFERROR(VLOOKUP("LULUCF|SO2|Asthma symptoms shortness of breath", US_national_yearly!$D:$AM, 21, FALSE) / VLOOKUP("LULUCF|SO2|Asthma symptoms shortness of breath", US_national_yearly!$D:$AM, 10, FALSE), 1)</f>
        <v>9.0133324227438855E-5</v>
      </c>
      <c r="N7" s="7">
        <f>$B7 * IFERROR(VLOOKUP("LULUCF|SO2|Asthma symptoms shortness of breath", US_national_yearly!$D:$AM, 22, FALSE) / VLOOKUP("LULUCF|SO2|Asthma symptoms shortness of breath", US_national_yearly!$D:$AM, 10, FALSE), 1)</f>
        <v>9.0133324227438855E-5</v>
      </c>
      <c r="O7" s="7">
        <f>$B7 * IFERROR(VLOOKUP("LULUCF|SO2|Asthma symptoms shortness of breath", US_national_yearly!$D:$AM, 23, FALSE) / VLOOKUP("LULUCF|SO2|Asthma symptoms shortness of breath", US_national_yearly!$D:$AM, 10, FALSE), 1)</f>
        <v>9.0133324227438855E-5</v>
      </c>
      <c r="P7" s="7">
        <f>$B7 * IFERROR(VLOOKUP("LULUCF|SO2|Asthma symptoms shortness of breath", US_national_yearly!$D:$AM, 24, FALSE) / VLOOKUP("LULUCF|SO2|Asthma symptoms shortness of breath", US_national_yearly!$D:$AM, 10, FALSE), 1)</f>
        <v>9.0133324227438855E-5</v>
      </c>
      <c r="Q7" s="7">
        <f>$B7 * IFERROR(VLOOKUP("LULUCF|SO2|Asthma symptoms shortness of breath", US_national_yearly!$D:$AM, 25, FALSE) / VLOOKUP("LULUCF|SO2|Asthma symptoms shortness of breath", US_national_yearly!$D:$AM, 10, FALSE), 1)</f>
        <v>9.0133324227438855E-5</v>
      </c>
      <c r="R7" s="7">
        <f>$B7 * IFERROR(VLOOKUP("LULUCF|SO2|Asthma symptoms shortness of breath", US_national_yearly!$D:$AM, 26, FALSE) / VLOOKUP("LULUCF|SO2|Asthma symptoms shortness of breath", US_national_yearly!$D:$AM, 10, FALSE), 1)</f>
        <v>9.0133324227438855E-5</v>
      </c>
      <c r="S7" s="7">
        <f>$B7 * IFERROR(VLOOKUP("LULUCF|SO2|Asthma symptoms shortness of breath", US_national_yearly!$D:$AM, 27, FALSE) / VLOOKUP("LULUCF|SO2|Asthma symptoms shortness of breath", US_national_yearly!$D:$AM, 10, FALSE), 1)</f>
        <v>9.0133324227438855E-5</v>
      </c>
      <c r="T7" s="7">
        <f>$B7 * IFERROR(VLOOKUP("LULUCF|SO2|Asthma symptoms shortness of breath", US_national_yearly!$D:$AM, 28, FALSE) / VLOOKUP("LULUCF|SO2|Asthma symptoms shortness of breath", US_national_yearly!$D:$AM, 10, FALSE), 1)</f>
        <v>9.0133324227438855E-5</v>
      </c>
      <c r="U7" s="7">
        <f>$B7 * IFERROR(VLOOKUP("LULUCF|SO2|Asthma symptoms shortness of breath", US_national_yearly!$D:$AM, 29, FALSE) / VLOOKUP("LULUCF|SO2|Asthma symptoms shortness of breath", US_national_yearly!$D:$AM, 10, FALSE), 1)</f>
        <v>9.0133324227438855E-5</v>
      </c>
      <c r="V7" s="7">
        <f>$B7 * IFERROR(VLOOKUP("LULUCF|SO2|Asthma symptoms shortness of breath", US_national_yearly!$D:$AM, 30, FALSE) / VLOOKUP("LULUCF|SO2|Asthma symptoms shortness of breath", US_national_yearly!$D:$AM, 10, FALSE), 1)</f>
        <v>9.0133324227438855E-5</v>
      </c>
      <c r="W7" s="7">
        <f>$B7 * IFERROR(VLOOKUP("LULUCF|SO2|Asthma symptoms shortness of breath", US_national_yearly!$D:$AM, 31, FALSE) / VLOOKUP("LULUCF|SO2|Asthma symptoms shortness of breath", US_national_yearly!$D:$AM, 10, FALSE), 1)</f>
        <v>9.0133324227438855E-5</v>
      </c>
      <c r="X7" s="7">
        <f>$B7 * IFERROR(VLOOKUP("LULUCF|SO2|Asthma symptoms shortness of breath", US_national_yearly!$D:$AM, 32, FALSE) / VLOOKUP("LULUCF|SO2|Asthma symptoms shortness of breath", US_national_yearly!$D:$AM, 10, FALSE), 1)</f>
        <v>9.0133324227438855E-5</v>
      </c>
      <c r="Y7" s="7">
        <f>$B7 * IFERROR(VLOOKUP("LULUCF|SO2|Asthma symptoms shortness of breath", US_national_yearly!$D:$AM, 33, FALSE) / VLOOKUP("LULUCF|SO2|Asthma symptoms shortness of breath", US_national_yearly!$D:$AM, 10, FALSE), 1)</f>
        <v>9.0133324227438855E-5</v>
      </c>
      <c r="Z7" s="7">
        <f>$B7 * IFERROR(VLOOKUP("LULUCF|SO2|Asthma symptoms shortness of breath", US_national_yearly!$D:$AM, 34, FALSE) / VLOOKUP("LULUCF|SO2|Asthma symptoms shortness of breath", US_national_yearly!$D:$AM, 10, FALSE), 1)</f>
        <v>9.0133324227438855E-5</v>
      </c>
      <c r="AA7" s="7">
        <f>$B7 * IFERROR(VLOOKUP("LULUCF|SO2|Asthma symptoms shortness of breath", US_national_yearly!$D:$AM, 35, FALSE) / VLOOKUP("LULUCF|SO2|Asthma symptoms shortness of breath", US_national_yearly!$D:$AM, 10, FALSE), 1)</f>
        <v>9.0133324227438855E-5</v>
      </c>
      <c r="AB7" s="7">
        <f>$B7 * IFERROR(VLOOKUP("LULUCF|SO2|Asthma symptoms shortness of breath", US_national_yearly!$D:$AM, 36, FALSE) / VLOOKUP("LULUCF|SO2|Asthma symptoms shortness of breath", US_national_yearly!$D:$AM, 10, FALSE), 1)</f>
        <v>9.0133324227438855E-5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1.3771073552368694E-4</v>
      </c>
      <c r="C8" s="7">
        <f>$B8 * IFERROR(VLOOKUP("LULUCF|SO2|Asthma symptoms wheeze", US_national_yearly!$D:$AM, 11, FALSE) / VLOOKUP("LULUCF|SO2|Asthma symptoms wheeze", US_national_yearly!$D:$AM, 10, FALSE), 1)</f>
        <v>1.3771073552368694E-4</v>
      </c>
      <c r="D8" s="7">
        <f>$B8 * IFERROR(VLOOKUP("LULUCF|SO2|Asthma symptoms wheeze", US_national_yearly!$D:$AM, 12, FALSE) / VLOOKUP("LULUCF|SO2|Asthma symptoms wheeze", US_national_yearly!$D:$AM, 10, FALSE), 1)</f>
        <v>1.3771073552368694E-4</v>
      </c>
      <c r="E8" s="7">
        <f>$B8 * IFERROR(VLOOKUP("LULUCF|SO2|Asthma symptoms wheeze", US_national_yearly!$D:$AM, 13, FALSE) / VLOOKUP("LULUCF|SO2|Asthma symptoms wheeze", US_national_yearly!$D:$AM, 10, FALSE), 1)</f>
        <v>1.3771073552368694E-4</v>
      </c>
      <c r="F8" s="7">
        <f>$B8 * IFERROR(VLOOKUP("LULUCF|SO2|Asthma symptoms wheeze", US_national_yearly!$D:$AM, 14, FALSE) / VLOOKUP("LULUCF|SO2|Asthma symptoms wheeze", US_national_yearly!$D:$AM, 10, FALSE), 1)</f>
        <v>1.3771073552368694E-4</v>
      </c>
      <c r="G8" s="7">
        <f>$B8 * IFERROR(VLOOKUP("LULUCF|SO2|Asthma symptoms wheeze", US_national_yearly!$D:$AM, 15, FALSE) / VLOOKUP("LULUCF|SO2|Asthma symptoms wheeze", US_national_yearly!$D:$AM, 10, FALSE), 1)</f>
        <v>1.3771073552368694E-4</v>
      </c>
      <c r="H8" s="7">
        <f>$B8 * IFERROR(VLOOKUP("LULUCF|SO2|Asthma symptoms wheeze", US_national_yearly!$D:$AM, 16, FALSE) / VLOOKUP("LULUCF|SO2|Asthma symptoms wheeze", US_national_yearly!$D:$AM, 10, FALSE), 1)</f>
        <v>1.3771073552368694E-4</v>
      </c>
      <c r="I8" s="7">
        <f>$B8 * IFERROR(VLOOKUP("LULUCF|SO2|Asthma symptoms wheeze", US_national_yearly!$D:$AM, 17, FALSE) / VLOOKUP("LULUCF|SO2|Asthma symptoms wheeze", US_national_yearly!$D:$AM, 10, FALSE), 1)</f>
        <v>1.3771073552368694E-4</v>
      </c>
      <c r="J8" s="7">
        <f>$B8 * IFERROR(VLOOKUP("LULUCF|SO2|Asthma symptoms wheeze", US_national_yearly!$D:$AM, 18, FALSE) / VLOOKUP("LULUCF|SO2|Asthma symptoms wheeze", US_national_yearly!$D:$AM, 10, FALSE), 1)</f>
        <v>1.3771073552368694E-4</v>
      </c>
      <c r="K8" s="7">
        <f>$B8 * IFERROR(VLOOKUP("LULUCF|SO2|Asthma symptoms wheeze", US_national_yearly!$D:$AM, 19, FALSE) / VLOOKUP("LULUCF|SO2|Asthma symptoms wheeze", US_national_yearly!$D:$AM, 10, FALSE), 1)</f>
        <v>1.3771073552368694E-4</v>
      </c>
      <c r="L8" s="7">
        <f>$B8 * IFERROR(VLOOKUP("LULUCF|SO2|Asthma symptoms wheeze", US_national_yearly!$D:$AM, 20, FALSE) / VLOOKUP("LULUCF|SO2|Asthma symptoms wheeze", US_national_yearly!$D:$AM, 10, FALSE), 1)</f>
        <v>1.3771073552368694E-4</v>
      </c>
      <c r="M8" s="7">
        <f>$B8 * IFERROR(VLOOKUP("LULUCF|SO2|Asthma symptoms wheeze", US_national_yearly!$D:$AM, 21, FALSE) / VLOOKUP("LULUCF|SO2|Asthma symptoms wheeze", US_national_yearly!$D:$AM, 10, FALSE), 1)</f>
        <v>1.3771073552368694E-4</v>
      </c>
      <c r="N8" s="7">
        <f>$B8 * IFERROR(VLOOKUP("LULUCF|SO2|Asthma symptoms wheeze", US_national_yearly!$D:$AM, 22, FALSE) / VLOOKUP("LULUCF|SO2|Asthma symptoms wheeze", US_national_yearly!$D:$AM, 10, FALSE), 1)</f>
        <v>1.3771073552368694E-4</v>
      </c>
      <c r="O8" s="7">
        <f>$B8 * IFERROR(VLOOKUP("LULUCF|SO2|Asthma symptoms wheeze", US_national_yearly!$D:$AM, 23, FALSE) / VLOOKUP("LULUCF|SO2|Asthma symptoms wheeze", US_national_yearly!$D:$AM, 10, FALSE), 1)</f>
        <v>1.3771073552368694E-4</v>
      </c>
      <c r="P8" s="7">
        <f>$B8 * IFERROR(VLOOKUP("LULUCF|SO2|Asthma symptoms wheeze", US_national_yearly!$D:$AM, 24, FALSE) / VLOOKUP("LULUCF|SO2|Asthma symptoms wheeze", US_national_yearly!$D:$AM, 10, FALSE), 1)</f>
        <v>1.3771073552368694E-4</v>
      </c>
      <c r="Q8" s="7">
        <f>$B8 * IFERROR(VLOOKUP("LULUCF|SO2|Asthma symptoms wheeze", US_national_yearly!$D:$AM, 25, FALSE) / VLOOKUP("LULUCF|SO2|Asthma symptoms wheeze", US_national_yearly!$D:$AM, 10, FALSE), 1)</f>
        <v>1.3771073552368694E-4</v>
      </c>
      <c r="R8" s="7">
        <f>$B8 * IFERROR(VLOOKUP("LULUCF|SO2|Asthma symptoms wheeze", US_national_yearly!$D:$AM, 26, FALSE) / VLOOKUP("LULUCF|SO2|Asthma symptoms wheeze", US_national_yearly!$D:$AM, 10, FALSE), 1)</f>
        <v>1.3771073552368694E-4</v>
      </c>
      <c r="S8" s="7">
        <f>$B8 * IFERROR(VLOOKUP("LULUCF|SO2|Asthma symptoms wheeze", US_national_yearly!$D:$AM, 27, FALSE) / VLOOKUP("LULUCF|SO2|Asthma symptoms wheeze", US_national_yearly!$D:$AM, 10, FALSE), 1)</f>
        <v>1.3771073552368694E-4</v>
      </c>
      <c r="T8" s="7">
        <f>$B8 * IFERROR(VLOOKUP("LULUCF|SO2|Asthma symptoms wheeze", US_national_yearly!$D:$AM, 28, FALSE) / VLOOKUP("LULUCF|SO2|Asthma symptoms wheeze", US_national_yearly!$D:$AM, 10, FALSE), 1)</f>
        <v>1.3771073552368694E-4</v>
      </c>
      <c r="U8" s="7">
        <f>$B8 * IFERROR(VLOOKUP("LULUCF|SO2|Asthma symptoms wheeze", US_national_yearly!$D:$AM, 29, FALSE) / VLOOKUP("LULUCF|SO2|Asthma symptoms wheeze", US_national_yearly!$D:$AM, 10, FALSE), 1)</f>
        <v>1.3771073552368694E-4</v>
      </c>
      <c r="V8" s="7">
        <f>$B8 * IFERROR(VLOOKUP("LULUCF|SO2|Asthma symptoms wheeze", US_national_yearly!$D:$AM, 30, FALSE) / VLOOKUP("LULUCF|SO2|Asthma symptoms wheeze", US_national_yearly!$D:$AM, 10, FALSE), 1)</f>
        <v>1.3771073552368694E-4</v>
      </c>
      <c r="W8" s="7">
        <f>$B8 * IFERROR(VLOOKUP("LULUCF|SO2|Asthma symptoms wheeze", US_national_yearly!$D:$AM, 31, FALSE) / VLOOKUP("LULUCF|SO2|Asthma symptoms wheeze", US_national_yearly!$D:$AM, 10, FALSE), 1)</f>
        <v>1.3771073552368694E-4</v>
      </c>
      <c r="X8" s="7">
        <f>$B8 * IFERROR(VLOOKUP("LULUCF|SO2|Asthma symptoms wheeze", US_national_yearly!$D:$AM, 32, FALSE) / VLOOKUP("LULUCF|SO2|Asthma symptoms wheeze", US_national_yearly!$D:$AM, 10, FALSE), 1)</f>
        <v>1.3771073552368694E-4</v>
      </c>
      <c r="Y8" s="7">
        <f>$B8 * IFERROR(VLOOKUP("LULUCF|SO2|Asthma symptoms wheeze", US_national_yearly!$D:$AM, 33, FALSE) / VLOOKUP("LULUCF|SO2|Asthma symptoms wheeze", US_national_yearly!$D:$AM, 10, FALSE), 1)</f>
        <v>1.3771073552368694E-4</v>
      </c>
      <c r="Z8" s="7">
        <f>$B8 * IFERROR(VLOOKUP("LULUCF|SO2|Asthma symptoms wheeze", US_national_yearly!$D:$AM, 34, FALSE) / VLOOKUP("LULUCF|SO2|Asthma symptoms wheeze", US_national_yearly!$D:$AM, 10, FALSE), 1)</f>
        <v>1.3771073552368694E-4</v>
      </c>
      <c r="AA8" s="7">
        <f>$B8 * IFERROR(VLOOKUP("LULUCF|SO2|Asthma symptoms wheeze", US_national_yearly!$D:$AM, 35, FALSE) / VLOOKUP("LULUCF|SO2|Asthma symptoms wheeze", US_national_yearly!$D:$AM, 10, FALSE), 1)</f>
        <v>1.3771073552368694E-4</v>
      </c>
      <c r="AB8" s="7">
        <f>$B8 * IFERROR(VLOOKUP("LULUCF|SO2|Asthma symptoms wheeze", US_national_yearly!$D:$AM, 36, FALSE) / VLOOKUP("LULUCF|SO2|Asthma symptoms wheeze", US_national_yearly!$D:$AM, 10, FALSE), 1)</f>
        <v>1.3771073552368694E-4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1.4427305234578487E-6</v>
      </c>
      <c r="C12" s="7">
        <f>$B12 * IFERROR(VLOOKUP("LULUCF|SO2|Respiratory hospital admissions", US_national_yearly!$D:$AM, 11, FALSE) / VLOOKUP("LULUCF|SO2|Respiratory hospital admissions", US_national_yearly!$D:$AM, 10, FALSE), 1)</f>
        <v>1.4512398197815515E-6</v>
      </c>
      <c r="D12" s="7">
        <f>$B12 * IFERROR(VLOOKUP("LULUCF|SO2|Respiratory hospital admissions", US_national_yearly!$D:$AM, 12, FALSE) / VLOOKUP("LULUCF|SO2|Respiratory hospital admissions", US_national_yearly!$D:$AM, 10, FALSE), 1)</f>
        <v>1.4597491161052541E-6</v>
      </c>
      <c r="E12" s="7">
        <f>$B12 * IFERROR(VLOOKUP("LULUCF|SO2|Respiratory hospital admissions", US_national_yearly!$D:$AM, 13, FALSE) / VLOOKUP("LULUCF|SO2|Respiratory hospital admissions", US_national_yearly!$D:$AM, 10, FALSE), 1)</f>
        <v>1.4682584124289569E-6</v>
      </c>
      <c r="F12" s="7">
        <f>$B12 * IFERROR(VLOOKUP("LULUCF|SO2|Respiratory hospital admissions", US_national_yearly!$D:$AM, 14, FALSE) / VLOOKUP("LULUCF|SO2|Respiratory hospital admissions", US_national_yearly!$D:$AM, 10, FALSE), 1)</f>
        <v>1.4767677087526597E-6</v>
      </c>
      <c r="G12" s="7">
        <f>$B12 * IFERROR(VLOOKUP("LULUCF|SO2|Respiratory hospital admissions", US_national_yearly!$D:$AM, 15, FALSE) / VLOOKUP("LULUCF|SO2|Respiratory hospital admissions", US_national_yearly!$D:$AM, 10, FALSE), 1)</f>
        <v>1.486044277016971E-6</v>
      </c>
      <c r="H12" s="7">
        <f>$B12 * IFERROR(VLOOKUP("LULUCF|SO2|Respiratory hospital admissions", US_national_yearly!$D:$AM, 16, FALSE) / VLOOKUP("LULUCF|SO2|Respiratory hospital admissions", US_national_yearly!$D:$AM, 10, FALSE), 1)</f>
        <v>1.4953208452812823E-6</v>
      </c>
      <c r="I12" s="7">
        <f>$B12 * IFERROR(VLOOKUP("LULUCF|SO2|Respiratory hospital admissions", US_national_yearly!$D:$AM, 17, FALSE) / VLOOKUP("LULUCF|SO2|Respiratory hospital admissions", US_national_yearly!$D:$AM, 10, FALSE), 1)</f>
        <v>1.5044686460964276E-6</v>
      </c>
      <c r="J12" s="7">
        <f>$B12 * IFERROR(VLOOKUP("LULUCF|SO2|Respiratory hospital admissions", US_national_yearly!$D:$AM, 18, FALSE) / VLOOKUP("LULUCF|SO2|Respiratory hospital admissions", US_national_yearly!$D:$AM, 10, FALSE), 1)</f>
        <v>1.5136164469115732E-6</v>
      </c>
      <c r="K12" s="7">
        <f>$B12 * IFERROR(VLOOKUP("LULUCF|SO2|Respiratory hospital admissions", US_national_yearly!$D:$AM, 19, FALSE) / VLOOKUP("LULUCF|SO2|Respiratory hospital admissions", US_national_yearly!$D:$AM, 10, FALSE), 1)</f>
        <v>1.5227642477267181E-6</v>
      </c>
      <c r="L12" s="7">
        <f>$B12 * IFERROR(VLOOKUP("LULUCF|SO2|Respiratory hospital admissions", US_national_yearly!$D:$AM, 20, FALSE) / VLOOKUP("LULUCF|SO2|Respiratory hospital admissions", US_national_yearly!$D:$AM, 10, FALSE), 1)</f>
        <v>1.5319120485418639E-6</v>
      </c>
      <c r="M12" s="7">
        <f>$B12 * IFERROR(VLOOKUP("LULUCF|SO2|Respiratory hospital admissions", US_national_yearly!$D:$AM, 21, FALSE) / VLOOKUP("LULUCF|SO2|Respiratory hospital admissions", US_national_yearly!$D:$AM, 10, FALSE), 1)</f>
        <v>1.5410598493570088E-6</v>
      </c>
      <c r="N12" s="7">
        <f>$B12 * IFERROR(VLOOKUP("LULUCF|SO2|Respiratory hospital admissions", US_national_yearly!$D:$AM, 22, FALSE) / VLOOKUP("LULUCF|SO2|Respiratory hospital admissions", US_national_yearly!$D:$AM, 10, FALSE), 1)</f>
        <v>1.547737461572282E-6</v>
      </c>
      <c r="O12" s="7">
        <f>$B12 * IFERROR(VLOOKUP("LULUCF|SO2|Respiratory hospital admissions", US_national_yearly!$D:$AM, 23, FALSE) / VLOOKUP("LULUCF|SO2|Respiratory hospital admissions", US_national_yearly!$D:$AM, 10, FALSE), 1)</f>
        <v>1.554415073787555E-6</v>
      </c>
      <c r="P12" s="7">
        <f>$B12 * IFERROR(VLOOKUP("LULUCF|SO2|Respiratory hospital admissions", US_national_yearly!$D:$AM, 24, FALSE) / VLOOKUP("LULUCF|SO2|Respiratory hospital admissions", US_national_yearly!$D:$AM, 10, FALSE), 1)</f>
        <v>1.5610926860028279E-6</v>
      </c>
      <c r="Q12" s="7">
        <f>$B12 * IFERROR(VLOOKUP("LULUCF|SO2|Respiratory hospital admissions", US_national_yearly!$D:$AM, 25, FALSE) / VLOOKUP("LULUCF|SO2|Respiratory hospital admissions", US_national_yearly!$D:$AM, 10, FALSE), 1)</f>
        <v>1.5677702982181013E-6</v>
      </c>
      <c r="R12" s="7">
        <f>$B12 * IFERROR(VLOOKUP("LULUCF|SO2|Respiratory hospital admissions", US_national_yearly!$D:$AM, 26, FALSE) / VLOOKUP("LULUCF|SO2|Respiratory hospital admissions", US_national_yearly!$D:$AM, 10, FALSE), 1)</f>
        <v>1.5744479104333743E-6</v>
      </c>
      <c r="S12" s="7">
        <f>$B12 * IFERROR(VLOOKUP("LULUCF|SO2|Respiratory hospital admissions", US_national_yearly!$D:$AM, 27, FALSE) / VLOOKUP("LULUCF|SO2|Respiratory hospital admissions", US_national_yearly!$D:$AM, 10, FALSE), 1)</f>
        <v>1.5808178429705554E-6</v>
      </c>
      <c r="T12" s="7">
        <f>$B12 * IFERROR(VLOOKUP("LULUCF|SO2|Respiratory hospital admissions", US_national_yearly!$D:$AM, 28, FALSE) / VLOOKUP("LULUCF|SO2|Respiratory hospital admissions", US_national_yearly!$D:$AM, 10, FALSE), 1)</f>
        <v>1.5871877755077362E-6</v>
      </c>
      <c r="U12" s="7">
        <f>$B12 * IFERROR(VLOOKUP("LULUCF|SO2|Respiratory hospital admissions", US_national_yearly!$D:$AM, 29, FALSE) / VLOOKUP("LULUCF|SO2|Respiratory hospital admissions", US_national_yearly!$D:$AM, 10, FALSE), 1)</f>
        <v>1.5935577080449173E-6</v>
      </c>
      <c r="V12" s="7">
        <f>$B12 * IFERROR(VLOOKUP("LULUCF|SO2|Respiratory hospital admissions", US_national_yearly!$D:$AM, 30, FALSE) / VLOOKUP("LULUCF|SO2|Respiratory hospital admissions", US_national_yearly!$D:$AM, 10, FALSE), 1)</f>
        <v>1.5999276405820984E-6</v>
      </c>
      <c r="W12" s="7">
        <f>$B12 * IFERROR(VLOOKUP("LULUCF|SO2|Respiratory hospital admissions", US_national_yearly!$D:$AM, 31, FALSE) / VLOOKUP("LULUCF|SO2|Respiratory hospital admissions", US_national_yearly!$D:$AM, 10, FALSE), 1)</f>
        <v>1.6062975731192796E-6</v>
      </c>
      <c r="X12" s="7">
        <f>$B12 * IFERROR(VLOOKUP("LULUCF|SO2|Respiratory hospital admissions", US_national_yearly!$D:$AM, 32, FALSE) / VLOOKUP("LULUCF|SO2|Respiratory hospital admissions", US_national_yearly!$D:$AM, 10, FALSE), 1)</f>
        <v>1.6123415932784263E-6</v>
      </c>
      <c r="Y12" s="7">
        <f>$B12 * IFERROR(VLOOKUP("LULUCF|SO2|Respiratory hospital admissions", US_national_yearly!$D:$AM, 33, FALSE) / VLOOKUP("LULUCF|SO2|Respiratory hospital admissions", US_national_yearly!$D:$AM, 10, FALSE), 1)</f>
        <v>1.618385613437573E-6</v>
      </c>
      <c r="Z12" s="7">
        <f>$B12 * IFERROR(VLOOKUP("LULUCF|SO2|Respiratory hospital admissions", US_national_yearly!$D:$AM, 34, FALSE) / VLOOKUP("LULUCF|SO2|Respiratory hospital admissions", US_national_yearly!$D:$AM, 10, FALSE), 1)</f>
        <v>1.6244296335967198E-6</v>
      </c>
      <c r="AA12" s="7">
        <f>$B12 * IFERROR(VLOOKUP("LULUCF|SO2|Respiratory hospital admissions", US_national_yearly!$D:$AM, 35, FALSE) / VLOOKUP("LULUCF|SO2|Respiratory hospital admissions", US_national_yearly!$D:$AM, 10, FALSE), 1)</f>
        <v>1.6304736537558665E-6</v>
      </c>
      <c r="AB12" s="7">
        <f>$B12 * IFERROR(VLOOKUP("LULUCF|SO2|Respiratory hospital admissions", US_national_yearly!$D:$AM, 36, FALSE) / VLOOKUP("LULUCF|SO2|Respiratory hospital admissions", US_national_yearly!$D:$AM, 10, FALSE), 1)</f>
        <v>1.6365176739150137E-6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6.961867543644171E-6</v>
      </c>
      <c r="C13" s="7">
        <f>$B13 * IFERROR(VLOOKUP("LULUCF|SO2|Non-fatal heart attacks", US_national_yearly!$D:$AM, 11, FALSE) / VLOOKUP("LULUCF|SO2|Non-fatal heart attacks", US_national_yearly!$D:$AM, 10, FALSE), 1)</f>
        <v>7.1662426878361457E-6</v>
      </c>
      <c r="D13" s="7">
        <f>$B13 * IFERROR(VLOOKUP("LULUCF|SO2|Non-fatal heart attacks", US_national_yearly!$D:$AM, 12, FALSE) / VLOOKUP("LULUCF|SO2|Non-fatal heart attacks", US_national_yearly!$D:$AM, 10, FALSE), 1)</f>
        <v>7.3706178320281203E-6</v>
      </c>
      <c r="E13" s="7">
        <f>$B13 * IFERROR(VLOOKUP("LULUCF|SO2|Non-fatal heart attacks", US_national_yearly!$D:$AM, 13, FALSE) / VLOOKUP("LULUCF|SO2|Non-fatal heart attacks", US_national_yearly!$D:$AM, 10, FALSE), 1)</f>
        <v>7.574992976220095E-6</v>
      </c>
      <c r="F13" s="7">
        <f>$B13 * IFERROR(VLOOKUP("LULUCF|SO2|Non-fatal heart attacks", US_national_yearly!$D:$AM, 14, FALSE) / VLOOKUP("LULUCF|SO2|Non-fatal heart attacks", US_national_yearly!$D:$AM, 10, FALSE), 1)</f>
        <v>7.7793681204120688E-6</v>
      </c>
      <c r="G13" s="7">
        <f>$B13 * IFERROR(VLOOKUP("LULUCF|SO2|Non-fatal heart attacks", US_national_yearly!$D:$AM, 15, FALSE) / VLOOKUP("LULUCF|SO2|Non-fatal heart attacks", US_national_yearly!$D:$AM, 10, FALSE), 1)</f>
        <v>7.9721128383378023E-6</v>
      </c>
      <c r="H13" s="7">
        <f>$B13 * IFERROR(VLOOKUP("LULUCF|SO2|Non-fatal heart attacks", US_national_yearly!$D:$AM, 16, FALSE) / VLOOKUP("LULUCF|SO2|Non-fatal heart attacks", US_national_yearly!$D:$AM, 10, FALSE), 1)</f>
        <v>8.1648575562635341E-6</v>
      </c>
      <c r="I13" s="7">
        <f>$B13 * IFERROR(VLOOKUP("LULUCF|SO2|Non-fatal heart attacks", US_national_yearly!$D:$AM, 17, FALSE) / VLOOKUP("LULUCF|SO2|Non-fatal heart attacks", US_national_yearly!$D:$AM, 10, FALSE), 1)</f>
        <v>8.3199566315191709E-6</v>
      </c>
      <c r="J13" s="7">
        <f>$B13 * IFERROR(VLOOKUP("LULUCF|SO2|Non-fatal heart attacks", US_national_yearly!$D:$AM, 18, FALSE) / VLOOKUP("LULUCF|SO2|Non-fatal heart attacks", US_national_yearly!$D:$AM, 10, FALSE), 1)</f>
        <v>8.4750557067748094E-6</v>
      </c>
      <c r="K13" s="7">
        <f>$B13 * IFERROR(VLOOKUP("LULUCF|SO2|Non-fatal heart attacks", US_national_yearly!$D:$AM, 19, FALSE) / VLOOKUP("LULUCF|SO2|Non-fatal heart attacks", US_national_yearly!$D:$AM, 10, FALSE), 1)</f>
        <v>8.6301547820304445E-6</v>
      </c>
      <c r="L13" s="7">
        <f>$B13 * IFERROR(VLOOKUP("LULUCF|SO2|Non-fatal heart attacks", US_national_yearly!$D:$AM, 20, FALSE) / VLOOKUP("LULUCF|SO2|Non-fatal heart attacks", US_national_yearly!$D:$AM, 10, FALSE), 1)</f>
        <v>8.7852538572860847E-6</v>
      </c>
      <c r="M13" s="7">
        <f>$B13 * IFERROR(VLOOKUP("LULUCF|SO2|Non-fatal heart attacks", US_national_yearly!$D:$AM, 21, FALSE) / VLOOKUP("LULUCF|SO2|Non-fatal heart attacks", US_national_yearly!$D:$AM, 10, FALSE), 1)</f>
        <v>8.9403529325417215E-6</v>
      </c>
      <c r="N13" s="7">
        <f>$B13 * IFERROR(VLOOKUP("LULUCF|SO2|Non-fatal heart attacks", US_national_yearly!$D:$AM, 22, FALSE) / VLOOKUP("LULUCF|SO2|Non-fatal heart attacks", US_national_yearly!$D:$AM, 10, FALSE), 1)</f>
        <v>9.0410606359506473E-6</v>
      </c>
      <c r="O13" s="7">
        <f>$B13 * IFERROR(VLOOKUP("LULUCF|SO2|Non-fatal heart attacks", US_national_yearly!$D:$AM, 23, FALSE) / VLOOKUP("LULUCF|SO2|Non-fatal heart attacks", US_national_yearly!$D:$AM, 10, FALSE), 1)</f>
        <v>9.1417683393595747E-6</v>
      </c>
      <c r="P13" s="7">
        <f>$B13 * IFERROR(VLOOKUP("LULUCF|SO2|Non-fatal heart attacks", US_national_yearly!$D:$AM, 24, FALSE) / VLOOKUP("LULUCF|SO2|Non-fatal heart attacks", US_national_yearly!$D:$AM, 10, FALSE), 1)</f>
        <v>9.2424760427685038E-6</v>
      </c>
      <c r="Q13" s="7">
        <f>$B13 * IFERROR(VLOOKUP("LULUCF|SO2|Non-fatal heart attacks", US_national_yearly!$D:$AM, 25, FALSE) / VLOOKUP("LULUCF|SO2|Non-fatal heart attacks", US_national_yearly!$D:$AM, 10, FALSE), 1)</f>
        <v>9.3431837461774313E-6</v>
      </c>
      <c r="R13" s="7">
        <f>$B13 * IFERROR(VLOOKUP("LULUCF|SO2|Non-fatal heart attacks", US_national_yearly!$D:$AM, 26, FALSE) / VLOOKUP("LULUCF|SO2|Non-fatal heart attacks", US_national_yearly!$D:$AM, 10, FALSE), 1)</f>
        <v>9.443891449586357E-6</v>
      </c>
      <c r="S13" s="7">
        <f>$B13 * IFERROR(VLOOKUP("LULUCF|SO2|Non-fatal heart attacks", US_national_yearly!$D:$AM, 27, FALSE) / VLOOKUP("LULUCF|SO2|Non-fatal heart attacks", US_national_yearly!$D:$AM, 10, FALSE), 1)</f>
        <v>9.4964703750765712E-6</v>
      </c>
      <c r="T13" s="7">
        <f>$B13 * IFERROR(VLOOKUP("LULUCF|SO2|Non-fatal heart attacks", US_national_yearly!$D:$AM, 28, FALSE) / VLOOKUP("LULUCF|SO2|Non-fatal heart attacks", US_national_yearly!$D:$AM, 10, FALSE), 1)</f>
        <v>9.5490493005667854E-6</v>
      </c>
      <c r="U13" s="7">
        <f>$B13 * IFERROR(VLOOKUP("LULUCF|SO2|Non-fatal heart attacks", US_national_yearly!$D:$AM, 29, FALSE) / VLOOKUP("LULUCF|SO2|Non-fatal heart attacks", US_national_yearly!$D:$AM, 10, FALSE), 1)</f>
        <v>9.6016282260569979E-6</v>
      </c>
      <c r="V13" s="7">
        <f>$B13 * IFERROR(VLOOKUP("LULUCF|SO2|Non-fatal heart attacks", US_national_yearly!$D:$AM, 30, FALSE) / VLOOKUP("LULUCF|SO2|Non-fatal heart attacks", US_national_yearly!$D:$AM, 10, FALSE), 1)</f>
        <v>9.6542071515472121E-6</v>
      </c>
      <c r="W13" s="7">
        <f>$B13 * IFERROR(VLOOKUP("LULUCF|SO2|Non-fatal heart attacks", US_national_yearly!$D:$AM, 31, FALSE) / VLOOKUP("LULUCF|SO2|Non-fatal heart attacks", US_national_yearly!$D:$AM, 10, FALSE), 1)</f>
        <v>9.7067860770374263E-6</v>
      </c>
      <c r="X13" s="7">
        <f>$B13 * IFERROR(VLOOKUP("LULUCF|SO2|Non-fatal heart attacks", US_national_yearly!$D:$AM, 32, FALSE) / VLOOKUP("LULUCF|SO2|Non-fatal heart attacks", US_national_yearly!$D:$AM, 10, FALSE), 1)</f>
        <v>9.7464785665014343E-6</v>
      </c>
      <c r="Y13" s="7">
        <f>$B13 * IFERROR(VLOOKUP("LULUCF|SO2|Non-fatal heart attacks", US_national_yearly!$D:$AM, 33, FALSE) / VLOOKUP("LULUCF|SO2|Non-fatal heart attacks", US_national_yearly!$D:$AM, 10, FALSE), 1)</f>
        <v>9.7861710559654424E-6</v>
      </c>
      <c r="Z13" s="7">
        <f>$B13 * IFERROR(VLOOKUP("LULUCF|SO2|Non-fatal heart attacks", US_national_yearly!$D:$AM, 34, FALSE) / VLOOKUP("LULUCF|SO2|Non-fatal heart attacks", US_national_yearly!$D:$AM, 10, FALSE), 1)</f>
        <v>9.8258635454294504E-6</v>
      </c>
      <c r="AA13" s="7">
        <f>$B13 * IFERROR(VLOOKUP("LULUCF|SO2|Non-fatal heart attacks", US_national_yearly!$D:$AM, 35, FALSE) / VLOOKUP("LULUCF|SO2|Non-fatal heart attacks", US_national_yearly!$D:$AM, 10, FALSE), 1)</f>
        <v>9.8655560348934567E-6</v>
      </c>
      <c r="AB13" s="7">
        <f>$B13 * IFERROR(VLOOKUP("LULUCF|SO2|Non-fatal heart attacks", US_national_yearly!$D:$AM, 36, FALSE) / VLOOKUP("LULUCF|SO2|Non-fatal heart attacks", US_national_yearly!$D:$AM, 10, FALSE), 1)</f>
        <v>9.9052485243574647E-6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7.2356752560616402E-3</v>
      </c>
      <c r="C14" s="7">
        <f>$B14 * IFERROR(VLOOKUP("LULUCF|SO2|Minor restricted activity days", US_national_yearly!$D:$AM, 11, FALSE) / VLOOKUP("LULUCF|SO2|Minor restricted activity days", US_national_yearly!$D:$AM, 10, FALSE), 1)</f>
        <v>7.2539139825107289E-3</v>
      </c>
      <c r="D14" s="7">
        <f>$B14 * IFERROR(VLOOKUP("LULUCF|SO2|Minor restricted activity days", US_national_yearly!$D:$AM, 12, FALSE) / VLOOKUP("LULUCF|SO2|Minor restricted activity days", US_national_yearly!$D:$AM, 10, FALSE), 1)</f>
        <v>7.2721527089598158E-3</v>
      </c>
      <c r="E14" s="7">
        <f>$B14 * IFERROR(VLOOKUP("LULUCF|SO2|Minor restricted activity days", US_national_yearly!$D:$AM, 13, FALSE) / VLOOKUP("LULUCF|SO2|Minor restricted activity days", US_national_yearly!$D:$AM, 10, FALSE), 1)</f>
        <v>7.2903914354089045E-3</v>
      </c>
      <c r="F14" s="7">
        <f>$B14 * IFERROR(VLOOKUP("LULUCF|SO2|Minor restricted activity days", US_national_yearly!$D:$AM, 14, FALSE) / VLOOKUP("LULUCF|SO2|Minor restricted activity days", US_national_yearly!$D:$AM, 10, FALSE), 1)</f>
        <v>7.3086301618579914E-3</v>
      </c>
      <c r="G14" s="7">
        <f>$B14 * IFERROR(VLOOKUP("LULUCF|SO2|Minor restricted activity days", US_national_yearly!$D:$AM, 15, FALSE) / VLOOKUP("LULUCF|SO2|Minor restricted activity days", US_national_yearly!$D:$AM, 10, FALSE), 1)</f>
        <v>7.3354757754085578E-3</v>
      </c>
      <c r="H14" s="7">
        <f>$B14 * IFERROR(VLOOKUP("LULUCF|SO2|Minor restricted activity days", US_national_yearly!$D:$AM, 16, FALSE) / VLOOKUP("LULUCF|SO2|Minor restricted activity days", US_national_yearly!$D:$AM, 10, FALSE), 1)</f>
        <v>7.3623213889591243E-3</v>
      </c>
      <c r="I14" s="7">
        <f>$B14 * IFERROR(VLOOKUP("LULUCF|SO2|Minor restricted activity days", US_national_yearly!$D:$AM, 17, FALSE) / VLOOKUP("LULUCF|SO2|Minor restricted activity days", US_national_yearly!$D:$AM, 10, FALSE), 1)</f>
        <v>7.4081040805652528E-3</v>
      </c>
      <c r="J14" s="7">
        <f>$B14 * IFERROR(VLOOKUP("LULUCF|SO2|Minor restricted activity days", US_national_yearly!$D:$AM, 18, FALSE) / VLOOKUP("LULUCF|SO2|Minor restricted activity days", US_national_yearly!$D:$AM, 10, FALSE), 1)</f>
        <v>7.4538867721713814E-3</v>
      </c>
      <c r="K14" s="7">
        <f>$B14 * IFERROR(VLOOKUP("LULUCF|SO2|Minor restricted activity days", US_national_yearly!$D:$AM, 19, FALSE) / VLOOKUP("LULUCF|SO2|Minor restricted activity days", US_national_yearly!$D:$AM, 10, FALSE), 1)</f>
        <v>7.4996694637775117E-3</v>
      </c>
      <c r="L14" s="7">
        <f>$B14 * IFERROR(VLOOKUP("LULUCF|SO2|Minor restricted activity days", US_national_yearly!$D:$AM, 20, FALSE) / VLOOKUP("LULUCF|SO2|Minor restricted activity days", US_national_yearly!$D:$AM, 10, FALSE), 1)</f>
        <v>7.5454521553836411E-3</v>
      </c>
      <c r="M14" s="7">
        <f>$B14 * IFERROR(VLOOKUP("LULUCF|SO2|Minor restricted activity days", US_national_yearly!$D:$AM, 21, FALSE) / VLOOKUP("LULUCF|SO2|Minor restricted activity days", US_national_yearly!$D:$AM, 10, FALSE), 1)</f>
        <v>7.5912348469897696E-3</v>
      </c>
      <c r="N14" s="7">
        <f>$B14 * IFERROR(VLOOKUP("LULUCF|SO2|Minor restricted activity days", US_national_yearly!$D:$AM, 22, FALSE) / VLOOKUP("LULUCF|SO2|Minor restricted activity days", US_national_yearly!$D:$AM, 10, FALSE), 1)</f>
        <v>7.6538582228630305E-3</v>
      </c>
      <c r="O14" s="7">
        <f>$B14 * IFERROR(VLOOKUP("LULUCF|SO2|Minor restricted activity days", US_national_yearly!$D:$AM, 23, FALSE) / VLOOKUP("LULUCF|SO2|Minor restricted activity days", US_national_yearly!$D:$AM, 10, FALSE), 1)</f>
        <v>7.7164815987362922E-3</v>
      </c>
      <c r="P14" s="7">
        <f>$B14 * IFERROR(VLOOKUP("LULUCF|SO2|Minor restricted activity days", US_national_yearly!$D:$AM, 24, FALSE) / VLOOKUP("LULUCF|SO2|Minor restricted activity days", US_national_yearly!$D:$AM, 10, FALSE), 1)</f>
        <v>7.779104974609553E-3</v>
      </c>
      <c r="Q14" s="7">
        <f>$B14 * IFERROR(VLOOKUP("LULUCF|SO2|Minor restricted activity days", US_national_yearly!$D:$AM, 25, FALSE) / VLOOKUP("LULUCF|SO2|Minor restricted activity days", US_national_yearly!$D:$AM, 10, FALSE), 1)</f>
        <v>7.8417283504828138E-3</v>
      </c>
      <c r="R14" s="7">
        <f>$B14 * IFERROR(VLOOKUP("LULUCF|SO2|Minor restricted activity days", US_national_yearly!$D:$AM, 26, FALSE) / VLOOKUP("LULUCF|SO2|Minor restricted activity days", US_national_yearly!$D:$AM, 10, FALSE), 1)</f>
        <v>7.9043517263560747E-3</v>
      </c>
      <c r="S14" s="7">
        <f>$B14 * IFERROR(VLOOKUP("LULUCF|SO2|Minor restricted activity days", US_national_yearly!$D:$AM, 27, FALSE) / VLOOKUP("LULUCF|SO2|Minor restricted activity days", US_national_yearly!$D:$AM, 10, FALSE), 1)</f>
        <v>7.9682023872544513E-3</v>
      </c>
      <c r="T14" s="7">
        <f>$B14 * IFERROR(VLOOKUP("LULUCF|SO2|Minor restricted activity days", US_national_yearly!$D:$AM, 28, FALSE) / VLOOKUP("LULUCF|SO2|Minor restricted activity days", US_national_yearly!$D:$AM, 10, FALSE), 1)</f>
        <v>8.0320530481528263E-3</v>
      </c>
      <c r="U14" s="7">
        <f>$B14 * IFERROR(VLOOKUP("LULUCF|SO2|Minor restricted activity days", US_national_yearly!$D:$AM, 29, FALSE) / VLOOKUP("LULUCF|SO2|Minor restricted activity days", US_national_yearly!$D:$AM, 10, FALSE), 1)</f>
        <v>8.0959037090512012E-3</v>
      </c>
      <c r="V14" s="7">
        <f>$B14 * IFERROR(VLOOKUP("LULUCF|SO2|Minor restricted activity days", US_national_yearly!$D:$AM, 30, FALSE) / VLOOKUP("LULUCF|SO2|Minor restricted activity days", US_national_yearly!$D:$AM, 10, FALSE), 1)</f>
        <v>8.1597543699495779E-3</v>
      </c>
      <c r="W14" s="7">
        <f>$B14 * IFERROR(VLOOKUP("LULUCF|SO2|Minor restricted activity days", US_national_yearly!$D:$AM, 31, FALSE) / VLOOKUP("LULUCF|SO2|Minor restricted activity days", US_national_yearly!$D:$AM, 10, FALSE), 1)</f>
        <v>8.2236050308479546E-3</v>
      </c>
      <c r="X14" s="7">
        <f>$B14 * IFERROR(VLOOKUP("LULUCF|SO2|Minor restricted activity days", US_national_yearly!$D:$AM, 32, FALSE) / VLOOKUP("LULUCF|SO2|Minor restricted activity days", US_national_yearly!$D:$AM, 10, FALSE), 1)</f>
        <v>8.2797565989244822E-3</v>
      </c>
      <c r="Y14" s="7">
        <f>$B14 * IFERROR(VLOOKUP("LULUCF|SO2|Minor restricted activity days", US_national_yearly!$D:$AM, 33, FALSE) / VLOOKUP("LULUCF|SO2|Minor restricted activity days", US_national_yearly!$D:$AM, 10, FALSE), 1)</f>
        <v>8.3359081670010098E-3</v>
      </c>
      <c r="Z14" s="7">
        <f>$B14 * IFERROR(VLOOKUP("LULUCF|SO2|Minor restricted activity days", US_national_yearly!$D:$AM, 34, FALSE) / VLOOKUP("LULUCF|SO2|Minor restricted activity days", US_national_yearly!$D:$AM, 10, FALSE), 1)</f>
        <v>8.3920597350775374E-3</v>
      </c>
      <c r="AA14" s="7">
        <f>$B14 * IFERROR(VLOOKUP("LULUCF|SO2|Minor restricted activity days", US_national_yearly!$D:$AM, 35, FALSE) / VLOOKUP("LULUCF|SO2|Minor restricted activity days", US_national_yearly!$D:$AM, 10, FALSE), 1)</f>
        <v>8.448211303154065E-3</v>
      </c>
      <c r="AB14" s="7">
        <f>$B14 * IFERROR(VLOOKUP("LULUCF|SO2|Minor restricted activity days", US_national_yearly!$D:$AM, 36, FALSE) / VLOOKUP("LULUCF|SO2|Minor restricted activity days", US_national_yearly!$D:$AM, 10, FALSE), 1)</f>
        <v>8.5043628712305943E-3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1.2283755971803237E-3</v>
      </c>
      <c r="C15" s="7">
        <f>$B15 * IFERROR(VLOOKUP("LULUCF|SO2|Work loss days", US_national_yearly!$D:$AM, 11, FALSE) / VLOOKUP("LULUCF|SO2|Work loss days", US_national_yearly!$D:$AM, 10, FALSE), 1)</f>
        <v>1.2323553388821561E-3</v>
      </c>
      <c r="D15" s="7">
        <f>$B15 * IFERROR(VLOOKUP("LULUCF|SO2|Work loss days", US_national_yearly!$D:$AM, 12, FALSE) / VLOOKUP("LULUCF|SO2|Work loss days", US_national_yearly!$D:$AM, 10, FALSE), 1)</f>
        <v>1.2363350805839883E-3</v>
      </c>
      <c r="E15" s="7">
        <f>$B15 * IFERROR(VLOOKUP("LULUCF|SO2|Work loss days", US_national_yearly!$D:$AM, 13, FALSE) / VLOOKUP("LULUCF|SO2|Work loss days", US_national_yearly!$D:$AM, 10, FALSE), 1)</f>
        <v>1.2403148222858208E-3</v>
      </c>
      <c r="F15" s="7">
        <f>$B15 * IFERROR(VLOOKUP("LULUCF|SO2|Work loss days", US_national_yearly!$D:$AM, 14, FALSE) / VLOOKUP("LULUCF|SO2|Work loss days", US_national_yearly!$D:$AM, 10, FALSE), 1)</f>
        <v>1.244294563987653E-3</v>
      </c>
      <c r="G15" s="7">
        <f>$B15 * IFERROR(VLOOKUP("LULUCF|SO2|Work loss days", US_national_yearly!$D:$AM, 15, FALSE) / VLOOKUP("LULUCF|SO2|Work loss days", US_national_yearly!$D:$AM, 10, FALSE), 1)</f>
        <v>1.2494945834736182E-3</v>
      </c>
      <c r="H15" s="7">
        <f>$B15 * IFERROR(VLOOKUP("LULUCF|SO2|Work loss days", US_national_yearly!$D:$AM, 16, FALSE) / VLOOKUP("LULUCF|SO2|Work loss days", US_national_yearly!$D:$AM, 10, FALSE), 1)</f>
        <v>1.2546946029595831E-3</v>
      </c>
      <c r="I15" s="7">
        <f>$B15 * IFERROR(VLOOKUP("LULUCF|SO2|Work loss days", US_national_yearly!$D:$AM, 17, FALSE) / VLOOKUP("LULUCF|SO2|Work loss days", US_national_yearly!$D:$AM, 10, FALSE), 1)</f>
        <v>1.2623015334152943E-3</v>
      </c>
      <c r="J15" s="7">
        <f>$B15 * IFERROR(VLOOKUP("LULUCF|SO2|Work loss days", US_national_yearly!$D:$AM, 18, FALSE) / VLOOKUP("LULUCF|SO2|Work loss days", US_national_yearly!$D:$AM, 10, FALSE), 1)</f>
        <v>1.2699084638710056E-3</v>
      </c>
      <c r="K15" s="7">
        <f>$B15 * IFERROR(VLOOKUP("LULUCF|SO2|Work loss days", US_national_yearly!$D:$AM, 19, FALSE) / VLOOKUP("LULUCF|SO2|Work loss days", US_national_yearly!$D:$AM, 10, FALSE), 1)</f>
        <v>1.2775153943267168E-3</v>
      </c>
      <c r="L15" s="7">
        <f>$B15 * IFERROR(VLOOKUP("LULUCF|SO2|Work loss days", US_national_yearly!$D:$AM, 20, FALSE) / VLOOKUP("LULUCF|SO2|Work loss days", US_national_yearly!$D:$AM, 10, FALSE), 1)</f>
        <v>1.2851223247824283E-3</v>
      </c>
      <c r="M15" s="7">
        <f>$B15 * IFERROR(VLOOKUP("LULUCF|SO2|Work loss days", US_national_yearly!$D:$AM, 21, FALSE) / VLOOKUP("LULUCF|SO2|Work loss days", US_national_yearly!$D:$AM, 10, FALSE), 1)</f>
        <v>1.2927292552381397E-3</v>
      </c>
      <c r="N15" s="7">
        <f>$B15 * IFERROR(VLOOKUP("LULUCF|SO2|Work loss days", US_national_yearly!$D:$AM, 22, FALSE) / VLOOKUP("LULUCF|SO2|Work loss days", US_national_yearly!$D:$AM, 10, FALSE), 1)</f>
        <v>1.3022671133221234E-3</v>
      </c>
      <c r="O15" s="7">
        <f>$B15 * IFERROR(VLOOKUP("LULUCF|SO2|Work loss days", US_national_yearly!$D:$AM, 23, FALSE) / VLOOKUP("LULUCF|SO2|Work loss days", US_national_yearly!$D:$AM, 10, FALSE), 1)</f>
        <v>1.3118049714061072E-3</v>
      </c>
      <c r="P15" s="7">
        <f>$B15 * IFERROR(VLOOKUP("LULUCF|SO2|Work loss days", US_national_yearly!$D:$AM, 24, FALSE) / VLOOKUP("LULUCF|SO2|Work loss days", US_national_yearly!$D:$AM, 10, FALSE), 1)</f>
        <v>1.3213428294900906E-3</v>
      </c>
      <c r="Q15" s="7">
        <f>$B15 * IFERROR(VLOOKUP("LULUCF|SO2|Work loss days", US_national_yearly!$D:$AM, 25, FALSE) / VLOOKUP("LULUCF|SO2|Work loss days", US_national_yearly!$D:$AM, 10, FALSE), 1)</f>
        <v>1.3308806875740745E-3</v>
      </c>
      <c r="R15" s="7">
        <f>$B15 * IFERROR(VLOOKUP("LULUCF|SO2|Work loss days", US_national_yearly!$D:$AM, 26, FALSE) / VLOOKUP("LULUCF|SO2|Work loss days", US_national_yearly!$D:$AM, 10, FALSE), 1)</f>
        <v>1.3404185456580581E-3</v>
      </c>
      <c r="S15" s="7">
        <f>$B15 * IFERROR(VLOOKUP("LULUCF|SO2|Work loss days", US_national_yearly!$D:$AM, 27, FALSE) / VLOOKUP("LULUCF|SO2|Work loss days", US_national_yearly!$D:$AM, 10, FALSE), 1)</f>
        <v>1.3510770706209934E-3</v>
      </c>
      <c r="T15" s="7">
        <f>$B15 * IFERROR(VLOOKUP("LULUCF|SO2|Work loss days", US_national_yearly!$D:$AM, 28, FALSE) / VLOOKUP("LULUCF|SO2|Work loss days", US_national_yearly!$D:$AM, 10, FALSE), 1)</f>
        <v>1.3617355955839292E-3</v>
      </c>
      <c r="U15" s="7">
        <f>$B15 * IFERROR(VLOOKUP("LULUCF|SO2|Work loss days", US_national_yearly!$D:$AM, 29, FALSE) / VLOOKUP("LULUCF|SO2|Work loss days", US_national_yearly!$D:$AM, 10, FALSE), 1)</f>
        <v>1.3723941205468645E-3</v>
      </c>
      <c r="V15" s="7">
        <f>$B15 * IFERROR(VLOOKUP("LULUCF|SO2|Work loss days", US_national_yearly!$D:$AM, 30, FALSE) / VLOOKUP("LULUCF|SO2|Work loss days", US_national_yearly!$D:$AM, 10, FALSE), 1)</f>
        <v>1.3830526455097998E-3</v>
      </c>
      <c r="W15" s="7">
        <f>$B15 * IFERROR(VLOOKUP("LULUCF|SO2|Work loss days", US_national_yearly!$D:$AM, 31, FALSE) / VLOOKUP("LULUCF|SO2|Work loss days", US_national_yearly!$D:$AM, 10, FALSE), 1)</f>
        <v>1.3937111704727355E-3</v>
      </c>
      <c r="X15" s="7">
        <f>$B15 * IFERROR(VLOOKUP("LULUCF|SO2|Work loss days", US_national_yearly!$D:$AM, 32, FALSE) / VLOOKUP("LULUCF|SO2|Work loss days", US_national_yearly!$D:$AM, 10, FALSE), 1)</f>
        <v>1.4032810567544455E-3</v>
      </c>
      <c r="Y15" s="7">
        <f>$B15 * IFERROR(VLOOKUP("LULUCF|SO2|Work loss days", US_national_yearly!$D:$AM, 33, FALSE) / VLOOKUP("LULUCF|SO2|Work loss days", US_national_yearly!$D:$AM, 10, FALSE), 1)</f>
        <v>1.4128509430361559E-3</v>
      </c>
      <c r="Z15" s="7">
        <f>$B15 * IFERROR(VLOOKUP("LULUCF|SO2|Work loss days", US_national_yearly!$D:$AM, 34, FALSE) / VLOOKUP("LULUCF|SO2|Work loss days", US_national_yearly!$D:$AM, 10, FALSE), 1)</f>
        <v>1.4224208293178663E-3</v>
      </c>
      <c r="AA15" s="7">
        <f>$B15 * IFERROR(VLOOKUP("LULUCF|SO2|Work loss days", US_national_yearly!$D:$AM, 35, FALSE) / VLOOKUP("LULUCF|SO2|Work loss days", US_national_yearly!$D:$AM, 10, FALSE), 1)</f>
        <v>1.4319907155995767E-3</v>
      </c>
      <c r="AB15" s="7">
        <f>$B15 * IFERROR(VLOOKUP("LULUCF|SO2|Work loss days", US_national_yearly!$D:$AM, 36, FALSE) / VLOOKUP("LULUCF|SO2|Work loss days", US_national_yearly!$D:$AM, 10, FALSE), 1)</f>
        <v>1.4415606018812871E-3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1.5247952457543913E-6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1.5709108930701149E-6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1.6170265403858386E-6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1.6631421877015621E-6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1.7092578350172862E-6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1.7534322402330743E-6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1.7976066454488627E-6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1.835455490158869E-6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1.8733043348688756E-6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1.9111531795788819E-6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1.9490020242888887E-6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1.9868508689988946E-6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2.0122766710643296E-6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2.0377024731297641E-6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2.0631282751951991E-6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2.0885540772606337E-6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2.1139798793260687E-6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2.1273520408936895E-6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2.1407242024613103E-6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2.154096364028931E-6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2.1674685255965518E-6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2.1808406871641726E-6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2.1898178612744049E-6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2.1987950353846371E-6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2.2077722094948694E-6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2.2167493836051017E-6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2.2257265577153335E-6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2026-06-15T17:17:56Z</dcterms:modified>
</cp:coreProperties>
</file>
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ECBFF405-903B-4233-AC90-376BC1A77911}"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<sst xmlns="http://schemas.openxmlformats.org/spreadsheetml/2006/main" count="5677" uniqueCount="335">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</sst>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189</v>
      </c>
    </row>
    <row r="2" spans="1:2" x14ac:dyDescent="0.25">
      <c r="A2" s="3" t="s">
        <v>2</v>
      </c>
      <c r="B2" s="4" t="str">
        <f>IFERROR(INDEX(Geography!B:B, MATCH($B$1, Geography!C:C, 0)), "")</f>
        <v>WY</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300564</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1.0317444816791319</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287054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0.96878962939931679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540996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1.2251409701335525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7223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8.9977798966909814E-2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7464</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0.19671680754956927</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31935</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1.1478655886826366</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65028</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0.56710008864674177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522590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587618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1.1049572810722155</v>
      </c>
    </row>
    <row r="12" spans="1:28" x14ac:dyDescent="0.25">
      <c r="A12" s="4" t="s">
        <v>319</v>
      </c>
    </row>
    <row r="13" spans="1:28" x14ac:dyDescent="0.25">
      <c r="A13" s="4" t="s">
        <v>320</v>
      </c>
      <c r="B13" s="37">
        <f>INDEX(Census_pop_2020_2025!G:G, MATCH("."&amp;About!$B$1, Census_pop_2020_2025!A:A, 0))</f>
        <v>586722</v>
      </c>
      <c r="C13" s="37">
        <f>INDEX(Census_pop_2020_2025!H:H, MATCH("."&amp;About!$B$1, Census_pop_2020_2025!A:A, 0))</f>
        <v>588753</v>
      </c>
      <c r="D13" s="37">
        <f>INDEX(Census_pop_2020_2025!H:H, MATCH("."&amp;About!$B$1, Census_pop_2020_2025!A:A, 0))+0.2*(INDEX(Cooper_pop_2030_2050!D:D, MATCH(About!$B$1, Cooper_pop_2030_2050!B:B, 0))-INDEX(Census_pop_2020_2025!H:H, MATCH("."&amp;About!$B$1, Census_pop_2020_2025!A:A, 0)))</f>
        <v>588387.38132662443</v>
      </c>
      <c r="E13" s="37">
        <f>INDEX(Census_pop_2020_2025!H:H, MATCH("."&amp;About!$B$1, Census_pop_2020_2025!A:A, 0))+0.4*(INDEX(Cooper_pop_2030_2050!D:D, MATCH(About!$B$1, Cooper_pop_2030_2050!B:B, 0))-INDEX(Census_pop_2020_2025!H:H, MATCH("."&amp;About!$B$1, Census_pop_2020_2025!A:A, 0)))</f>
        <v>588021.76265324885</v>
      </c>
      <c r="F13" s="37">
        <f>INDEX(Census_pop_2020_2025!H:H, MATCH("."&amp;About!$B$1, Census_pop_2020_2025!A:A, 0))+0.6*(INDEX(Cooper_pop_2030_2050!D:D, MATCH(About!$B$1, Cooper_pop_2030_2050!B:B, 0))-INDEX(Census_pop_2020_2025!H:H, MATCH("."&amp;About!$B$1, Census_pop_2020_2025!A:A, 0)))</f>
        <v>587656.14397987316</v>
      </c>
      <c r="G13" s="37">
        <f>INDEX(Census_pop_2020_2025!H:H, MATCH("."&amp;About!$B$1, Census_pop_2020_2025!A:A, 0))+0.8*(INDEX(Cooper_pop_2030_2050!D:D, MATCH(About!$B$1, Cooper_pop_2030_2050!B:B, 0))-INDEX(Census_pop_2020_2025!H:H, MATCH("."&amp;About!$B$1, Census_pop_2020_2025!A:A, 0)))</f>
        <v>587290.52530649758</v>
      </c>
      <c r="H13" s="37">
        <f>INDEX(Cooper_pop_2030_2050!D:D, MATCH(About!$B$1, Cooper_pop_2030_2050!B:B, 0))</f>
        <v>586924.90663312201</v>
      </c>
      <c r="I13" s="37">
        <f>INDEX(Cooper_pop_2030_2050!D:D, MATCH(About!$B$1, Cooper_pop_2030_2050!B:B, 0))+0.1*(INDEX(Cooper_pop_2030_2050!E:E, MATCH(About!$B$1, Cooper_pop_2030_2050!B:B, 0))-INDEX(Cooper_pop_2030_2050!D:D, MATCH(About!$B$1, Cooper_pop_2030_2050!B:B, 0)))</f>
        <v>585986.31319276954</v>
      </c>
      <c r="J13" s="37">
        <f>INDEX(Cooper_pop_2030_2050!D:D, MATCH(About!$B$1, Cooper_pop_2030_2050!B:B, 0))+0.2*(INDEX(Cooper_pop_2030_2050!E:E, MATCH(About!$B$1, Cooper_pop_2030_2050!B:B, 0))-INDEX(Cooper_pop_2030_2050!D:D, MATCH(About!$B$1, Cooper_pop_2030_2050!B:B, 0)))</f>
        <v>585047.71975241695</v>
      </c>
      <c r="K13" s="37">
        <f>INDEX(Cooper_pop_2030_2050!D:D, MATCH(About!$B$1, Cooper_pop_2030_2050!B:B, 0))+0.3*(INDEX(Cooper_pop_2030_2050!E:E, MATCH(About!$B$1, Cooper_pop_2030_2050!B:B, 0))-INDEX(Cooper_pop_2030_2050!D:D, MATCH(About!$B$1, Cooper_pop_2030_2050!B:B, 0)))</f>
        <v>584109.12631206447</v>
      </c>
      <c r="L13" s="37">
        <f>INDEX(Cooper_pop_2030_2050!D:D, MATCH(About!$B$1, Cooper_pop_2030_2050!B:B, 0))+0.4*(INDEX(Cooper_pop_2030_2050!E:E, MATCH(About!$B$1, Cooper_pop_2030_2050!B:B, 0))-INDEX(Cooper_pop_2030_2050!D:D, MATCH(About!$B$1, Cooper_pop_2030_2050!B:B, 0)))</f>
        <v>583170.53287171188</v>
      </c>
      <c r="M13" s="37">
        <f>INDEX(Cooper_pop_2030_2050!D:D, MATCH(About!$B$1, Cooper_pop_2030_2050!B:B, 0))+0.5*(INDEX(Cooper_pop_2030_2050!E:E, MATCH(About!$B$1, Cooper_pop_2030_2050!B:B, 0))-INDEX(Cooper_pop_2030_2050!D:D, MATCH(About!$B$1, Cooper_pop_2030_2050!B:B, 0)))</f>
        <v>582231.93943135941</v>
      </c>
      <c r="N13" s="37">
        <f>INDEX(Cooper_pop_2030_2050!D:D, MATCH(About!$B$1, Cooper_pop_2030_2050!B:B, 0))+0.6*(INDEX(Cooper_pop_2030_2050!E:E, MATCH(About!$B$1, Cooper_pop_2030_2050!B:B, 0))-INDEX(Cooper_pop_2030_2050!D:D, MATCH(About!$B$1, Cooper_pop_2030_2050!B:B, 0)))</f>
        <v>581293.34599100694</v>
      </c>
      <c r="O13" s="37">
        <f>INDEX(Cooper_pop_2030_2050!D:D, MATCH(About!$B$1, Cooper_pop_2030_2050!B:B, 0))+0.7*(INDEX(Cooper_pop_2030_2050!E:E, MATCH(About!$B$1, Cooper_pop_2030_2050!B:B, 0))-INDEX(Cooper_pop_2030_2050!D:D, MATCH(About!$B$1, Cooper_pop_2030_2050!B:B, 0)))</f>
        <v>580354.75255065435</v>
      </c>
      <c r="P13" s="37">
        <f>INDEX(Cooper_pop_2030_2050!D:D, MATCH(About!$B$1, Cooper_pop_2030_2050!B:B, 0))+0.8*(INDEX(Cooper_pop_2030_2050!E:E, MATCH(About!$B$1, Cooper_pop_2030_2050!B:B, 0))-INDEX(Cooper_pop_2030_2050!D:D, MATCH(About!$B$1, Cooper_pop_2030_2050!B:B, 0)))</f>
        <v>579416.15911030187</v>
      </c>
      <c r="Q13" s="37">
        <f>INDEX(Cooper_pop_2030_2050!D:D, MATCH(About!$B$1, Cooper_pop_2030_2050!B:B, 0))+0.9*(INDEX(Cooper_pop_2030_2050!E:E, MATCH(About!$B$1, Cooper_pop_2030_2050!B:B, 0))-INDEX(Cooper_pop_2030_2050!D:D, MATCH(About!$B$1, Cooper_pop_2030_2050!B:B, 0)))</f>
        <v>578477.56566994928</v>
      </c>
      <c r="R13" s="37">
        <f>INDEX(Cooper_pop_2030_2050!E:E, MATCH(About!$B$1, Cooper_pop_2030_2050!B:B, 0))</f>
        <v>577538.97222959681</v>
      </c>
      <c r="S13" s="37">
        <f>INDEX(Cooper_pop_2030_2050!E:E, MATCH(About!$B$1, Cooper_pop_2030_2050!B:B, 0))+0.1*(INDEX(Cooper_pop_2030_2050!F:F, MATCH(About!$B$1, Cooper_pop_2030_2050!B:B, 0))-INDEX(Cooper_pop_2030_2050!E:E, MATCH(About!$B$1, Cooper_pop_2030_2050!B:B, 0)))</f>
        <v>575949.45673674589</v>
      </c>
      <c r="T13" s="37">
        <f>INDEX(Cooper_pop_2030_2050!E:E, MATCH(About!$B$1, Cooper_pop_2030_2050!B:B, 0))+0.2*(INDEX(Cooper_pop_2030_2050!F:F, MATCH(About!$B$1, Cooper_pop_2030_2050!B:B, 0))-INDEX(Cooper_pop_2030_2050!E:E, MATCH(About!$B$1, Cooper_pop_2030_2050!B:B, 0)))</f>
        <v>574359.94124389498</v>
      </c>
      <c r="U13" s="37">
        <f>INDEX(Cooper_pop_2030_2050!E:E, MATCH(About!$B$1, Cooper_pop_2030_2050!B:B, 0))+0.3*(INDEX(Cooper_pop_2030_2050!F:F, MATCH(About!$B$1, Cooper_pop_2030_2050!B:B, 0))-INDEX(Cooper_pop_2030_2050!E:E, MATCH(About!$B$1, Cooper_pop_2030_2050!B:B, 0)))</f>
        <v>572770.42575104407</v>
      </c>
      <c r="V13" s="37">
        <f>INDEX(Cooper_pop_2030_2050!E:E, MATCH(About!$B$1, Cooper_pop_2030_2050!B:B, 0))+0.4*(INDEX(Cooper_pop_2030_2050!F:F, MATCH(About!$B$1, Cooper_pop_2030_2050!B:B, 0))-INDEX(Cooper_pop_2030_2050!E:E, MATCH(About!$B$1, Cooper_pop_2030_2050!B:B, 0)))</f>
        <v>571180.91025819315</v>
      </c>
      <c r="W13" s="37">
        <f>INDEX(Cooper_pop_2030_2050!E:E, MATCH(About!$B$1, Cooper_pop_2030_2050!B:B, 0))+0.5*(INDEX(Cooper_pop_2030_2050!F:F, MATCH(About!$B$1, Cooper_pop_2030_2050!B:B, 0))-INDEX(Cooper_pop_2030_2050!E:E, MATCH(About!$B$1, Cooper_pop_2030_2050!B:B, 0)))</f>
        <v>569591.39476534235</v>
      </c>
      <c r="X13" s="37">
        <f>INDEX(Cooper_pop_2030_2050!E:E, MATCH(About!$B$1, Cooper_pop_2030_2050!B:B, 0))+0.6*(INDEX(Cooper_pop_2030_2050!F:F, MATCH(About!$B$1, Cooper_pop_2030_2050!B:B, 0))-INDEX(Cooper_pop_2030_2050!E:E, MATCH(About!$B$1, Cooper_pop_2030_2050!B:B, 0)))</f>
        <v>568001.87927249144</v>
      </c>
      <c r="Y13" s="37">
        <f>INDEX(Cooper_pop_2030_2050!E:E, MATCH(About!$B$1, Cooper_pop_2030_2050!B:B, 0))+0.7*(INDEX(Cooper_pop_2030_2050!F:F, MATCH(About!$B$1, Cooper_pop_2030_2050!B:B, 0))-INDEX(Cooper_pop_2030_2050!E:E, MATCH(About!$B$1, Cooper_pop_2030_2050!B:B, 0)))</f>
        <v>566412.36377964052</v>
      </c>
      <c r="Z13" s="37">
        <f>INDEX(Cooper_pop_2030_2050!E:E, MATCH(About!$B$1, Cooper_pop_2030_2050!B:B, 0))+0.8*(INDEX(Cooper_pop_2030_2050!F:F, MATCH(About!$B$1, Cooper_pop_2030_2050!B:B, 0))-INDEX(Cooper_pop_2030_2050!E:E, MATCH(About!$B$1, Cooper_pop_2030_2050!B:B, 0)))</f>
        <v>564822.84828678961</v>
      </c>
      <c r="AA13" s="37">
        <f>INDEX(Cooper_pop_2030_2050!E:E, MATCH(About!$B$1, Cooper_pop_2030_2050!B:B, 0))+0.9*(INDEX(Cooper_pop_2030_2050!F:F, MATCH(About!$B$1, Cooper_pop_2030_2050!B:B, 0))-INDEX(Cooper_pop_2030_2050!E:E, MATCH(About!$B$1, Cooper_pop_2030_2050!B:B, 0)))</f>
        <v>563233.33279393869</v>
      </c>
      <c r="AB13" s="37">
        <f>INDEX(Cooper_pop_2030_2050!F:F, MATCH(About!$B$1, Cooper_pop_2030_2050!B:B, 0))</f>
        <v>561643.81730108778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1.7436941858981366E-3</v>
      </c>
      <c r="C15" s="39">
        <f t="shared" si="1"/>
        <v>1.7417889948305712E-3</v>
      </c>
      <c r="D15" s="39">
        <f t="shared" si="1"/>
        <v>1.7330332073886127E-3</v>
      </c>
      <c r="E15" s="39">
        <f t="shared" si="1"/>
        <v>1.7245532078331166E-3</v>
      </c>
      <c r="F15" s="39">
        <f t="shared" si="1"/>
        <v>1.7163617761541809E-3</v>
      </c>
      <c r="G15" s="39">
        <f t="shared" si="1"/>
        <v>1.7084626866165895E-3</v>
      </c>
      <c r="H15" s="39">
        <f t="shared" si="1"/>
        <v>1.7008689339420191E-3</v>
      </c>
      <c r="I15" s="39">
        <f t="shared" si="1"/>
        <v>1.6919430572930061E-3</v>
      </c>
      <c r="J15" s="39">
        <f t="shared" si="1"/>
        <v>1.6833720950724413E-3</v>
      </c>
      <c r="K15" s="39">
        <f t="shared" si="1"/>
        <v>1.6750963321981948E-3</v>
      </c>
      <c r="L15" s="39">
        <f t="shared" si="1"/>
        <v>1.667117737056537E-3</v>
      </c>
      <c r="M15" s="39">
        <f t="shared" si="1"/>
        <v>1.6594372131374917E-3</v>
      </c>
      <c r="N15" s="39">
        <f t="shared" si="1"/>
        <v>1.6520541876082926E-3</v>
      </c>
      <c r="O15" s="39">
        <f t="shared" si="1"/>
        <v>1.6449682693524081E-3</v>
      </c>
      <c r="P15" s="39">
        <f t="shared" si="1"/>
        <v>1.6381771158170905E-3</v>
      </c>
      <c r="Q15" s="39">
        <f t="shared" si="1"/>
        <v>1.631675191171981E-3</v>
      </c>
      <c r="R15" s="39">
        <f t="shared" si="1"/>
        <v>1.6254552275663512E-3</v>
      </c>
      <c r="S15" s="39">
        <f t="shared" si="1"/>
        <v>1.6176831314367083E-3</v>
      </c>
      <c r="T15" s="39">
        <f t="shared" si="1"/>
        <v>1.6101799549084386E-3</v>
      </c>
      <c r="U15" s="39">
        <f t="shared" si="1"/>
        <v>1.602928886294989E-3</v>
      </c>
      <c r="V15" s="39">
        <f t="shared" si="1"/>
        <v>1.5959080574077852E-3</v>
      </c>
      <c r="W15" s="39">
        <f t="shared" si="1"/>
        <v>1.5890933373996687E-3</v>
      </c>
      <c r="X15" s="39">
        <f t="shared" si="1"/>
        <v>1.5824603199039141E-3</v>
      </c>
      <c r="Y15" s="39">
        <f t="shared" si="1"/>
        <v>1.5759929092430301E-3</v>
      </c>
      <c r="Z15" s="39">
        <f t="shared" si="1"/>
        <v>1.569668460905009E-3</v>
      </c>
      <c r="AA15" s="39">
        <f t="shared" si="1"/>
        <v>1.5634643339732667E-3</v>
      </c>
      <c r="AB15" s="39">
        <f t="shared" si="1"/>
        <v>1.5573585540068133E-3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16.930829943336455</v>
      </c>
      <c r="C48" s="37">
        <f t="shared" si="10"/>
        <v>16.784738255439358</v>
      </c>
      <c r="D48" s="37">
        <f t="shared" si="10"/>
        <v>16.571623750750678</v>
      </c>
      <c r="E48" s="37">
        <f t="shared" si="10"/>
        <v>16.362426757981364</v>
      </c>
      <c r="F48" s="37">
        <f t="shared" si="10"/>
        <v>16.153664428524298</v>
      </c>
      <c r="G48" s="37">
        <f t="shared" si="10"/>
        <v>15.945356601299615</v>
      </c>
      <c r="H48" s="37">
        <f t="shared" si="10"/>
        <v>15.737603641514383</v>
      </c>
      <c r="I48" s="37">
        <f t="shared" si="10"/>
        <v>15.524091352439926</v>
      </c>
      <c r="J48" s="37">
        <f t="shared" si="10"/>
        <v>15.303031761958687</v>
      </c>
      <c r="K48" s="37">
        <f t="shared" si="10"/>
        <v>15.087809296040833</v>
      </c>
      <c r="L48" s="37">
        <f t="shared" si="10"/>
        <v>14.866301619047615</v>
      </c>
      <c r="M48" s="37">
        <f t="shared" si="10"/>
        <v>14.650569658133453</v>
      </c>
      <c r="N48" s="37">
        <f t="shared" si="10"/>
        <v>14.442209787377443</v>
      </c>
      <c r="O48" s="37">
        <f t="shared" si="10"/>
        <v>14.217334949817442</v>
      </c>
      <c r="P48" s="37">
        <f t="shared" si="10"/>
        <v>14.001452770647631</v>
      </c>
      <c r="Q48" s="37">
        <f t="shared" si="10"/>
        <v>13.779217291836591</v>
      </c>
      <c r="R48" s="37">
        <f t="shared" si="10"/>
        <v>13.55898531927158</v>
      </c>
      <c r="S48" s="37">
        <f t="shared" si="10"/>
        <v>13.322242510130557</v>
      </c>
      <c r="T48" s="37">
        <f t="shared" si="10"/>
        <v>13.089337655655637</v>
      </c>
      <c r="U48" s="37">
        <f t="shared" si="10"/>
        <v>12.860050144288651</v>
      </c>
      <c r="V48" s="37">
        <f t="shared" si="10"/>
        <v>12.634126480582204</v>
      </c>
      <c r="W48" s="37">
        <f t="shared" si="10"/>
        <v>12.412944331017071</v>
      </c>
      <c r="X48" s="37">
        <f t="shared" si="10"/>
        <v>12.207658290869576</v>
      </c>
      <c r="Y48" s="37">
        <f t="shared" si="10"/>
        <v>12.004920332065627</v>
      </c>
      <c r="Z48" s="37">
        <f t="shared" si="10"/>
        <v>11.812609459377363</v>
      </c>
      <c r="AA48" s="37">
        <f t="shared" si="10"/>
        <v>11.623967606122486</v>
      </c>
      <c r="AB48" s="37">
        <f t="shared" si="10"/>
        <v>11.437174597749149</v>
      </c>
    </row>
    <row r="49" spans="1:28" x14ac:dyDescent="0.25">
      <c r="A49" s="4" t="s">
        <v>216</v>
      </c>
      <c r="B49" s="37">
        <f t="shared" ref="B49:AB49" si="11">B29*B15*$F$5</f>
        <v>12.67630342244156</v>
      </c>
      <c r="C49" s="37">
        <f t="shared" si="11"/>
        <v>12.593268557705514</v>
      </c>
      <c r="D49" s="37">
        <f t="shared" si="11"/>
        <v>12.461126811720053</v>
      </c>
      <c r="E49" s="37">
        <f t="shared" si="11"/>
        <v>12.329981961648835</v>
      </c>
      <c r="F49" s="37">
        <f t="shared" si="11"/>
        <v>12.198253035564882</v>
      </c>
      <c r="G49" s="37">
        <f t="shared" si="11"/>
        <v>12.069287683507802</v>
      </c>
      <c r="H49" s="37">
        <f t="shared" si="11"/>
        <v>11.941491982683612</v>
      </c>
      <c r="I49" s="37">
        <f t="shared" si="11"/>
        <v>11.796868178903077</v>
      </c>
      <c r="J49" s="37">
        <f t="shared" si="11"/>
        <v>11.660459011103631</v>
      </c>
      <c r="K49" s="37">
        <f t="shared" si="11"/>
        <v>11.517124831772316</v>
      </c>
      <c r="L49" s="37">
        <f t="shared" si="11"/>
        <v>11.379898595770021</v>
      </c>
      <c r="M49" s="37">
        <f t="shared" si="11"/>
        <v>11.235834837898345</v>
      </c>
      <c r="N49" s="37">
        <f t="shared" si="11"/>
        <v>11.086614762740664</v>
      </c>
      <c r="O49" s="37">
        <f t="shared" si="11"/>
        <v>10.948225734271743</v>
      </c>
      <c r="P49" s="37">
        <f t="shared" si="11"/>
        <v>10.796694353278358</v>
      </c>
      <c r="Q49" s="37">
        <f t="shared" si="11"/>
        <v>10.651093525304981</v>
      </c>
      <c r="R49" s="37">
        <f t="shared" si="11"/>
        <v>10.500260749017942</v>
      </c>
      <c r="S49" s="37">
        <f t="shared" si="11"/>
        <v>10.340350243891846</v>
      </c>
      <c r="T49" s="37">
        <f t="shared" si="11"/>
        <v>10.180074738269038</v>
      </c>
      <c r="U49" s="37">
        <f t="shared" si="11"/>
        <v>10.022422290538152</v>
      </c>
      <c r="V49" s="37">
        <f t="shared" si="11"/>
        <v>9.8702971363375553</v>
      </c>
      <c r="W49" s="37">
        <f t="shared" si="11"/>
        <v>9.7219244733295014</v>
      </c>
      <c r="X49" s="37">
        <f t="shared" si="11"/>
        <v>9.5740293121334386</v>
      </c>
      <c r="Y49" s="37">
        <f t="shared" si="11"/>
        <v>9.434131718869228</v>
      </c>
      <c r="Z49" s="37">
        <f t="shared" si="11"/>
        <v>9.2943871540899927</v>
      </c>
      <c r="AA49" s="37">
        <f t="shared" si="11"/>
        <v>9.1607122617031376</v>
      </c>
      <c r="AB49" s="37">
        <f t="shared" si="11"/>
        <v>9.0374293701049186</v>
      </c>
    </row>
    <row r="50" spans="1:28" x14ac:dyDescent="0.25">
      <c r="A50" s="4" t="s">
        <v>217</v>
      </c>
      <c r="B50" s="37">
        <f t="shared" ref="B50:AB50" si="12">B30*B15*$F$6</f>
        <v>21.059361356787878</v>
      </c>
      <c r="C50" s="37">
        <f t="shared" si="12"/>
        <v>20.897645617755515</v>
      </c>
      <c r="D50" s="37">
        <f t="shared" si="12"/>
        <v>20.656709943809584</v>
      </c>
      <c r="E50" s="37">
        <f t="shared" si="12"/>
        <v>20.416187294655078</v>
      </c>
      <c r="F50" s="37">
        <f t="shared" si="12"/>
        <v>20.178326122235582</v>
      </c>
      <c r="G50" s="37">
        <f t="shared" si="12"/>
        <v>19.945222637891263</v>
      </c>
      <c r="H50" s="37">
        <f t="shared" si="12"/>
        <v>19.708620273034001</v>
      </c>
      <c r="I50" s="37">
        <f t="shared" si="12"/>
        <v>19.460091905949742</v>
      </c>
      <c r="J50" s="37">
        <f t="shared" si="12"/>
        <v>19.206834316952541</v>
      </c>
      <c r="K50" s="37">
        <f t="shared" si="12"/>
        <v>18.950283929514235</v>
      </c>
      <c r="L50" s="37">
        <f t="shared" si="12"/>
        <v>18.688456311594329</v>
      </c>
      <c r="M50" s="37">
        <f t="shared" si="12"/>
        <v>18.421416370158788</v>
      </c>
      <c r="N50" s="37">
        <f t="shared" si="12"/>
        <v>18.149201455162647</v>
      </c>
      <c r="O50" s="37">
        <f t="shared" si="12"/>
        <v>17.865794259297182</v>
      </c>
      <c r="P50" s="37">
        <f t="shared" si="12"/>
        <v>17.579294614182238</v>
      </c>
      <c r="Q50" s="37">
        <f t="shared" si="12"/>
        <v>17.287629831314952</v>
      </c>
      <c r="R50" s="37">
        <f t="shared" si="12"/>
        <v>16.990725429900095</v>
      </c>
      <c r="S50" s="37">
        <f t="shared" si="12"/>
        <v>16.673639568996457</v>
      </c>
      <c r="T50" s="37">
        <f t="shared" si="12"/>
        <v>16.361552501390555</v>
      </c>
      <c r="U50" s="37">
        <f t="shared" si="12"/>
        <v>16.054178230376145</v>
      </c>
      <c r="V50" s="37">
        <f t="shared" si="12"/>
        <v>15.753145869276919</v>
      </c>
      <c r="W50" s="37">
        <f t="shared" si="12"/>
        <v>15.461988749641913</v>
      </c>
      <c r="X50" s="37">
        <f t="shared" si="12"/>
        <v>15.18224922401175</v>
      </c>
      <c r="Y50" s="37">
        <f t="shared" si="12"/>
        <v>14.909741706101343</v>
      </c>
      <c r="Z50" s="37">
        <f t="shared" si="12"/>
        <v>14.646064113712843</v>
      </c>
      <c r="AA50" s="37">
        <f t="shared" si="12"/>
        <v>14.394713544862523</v>
      </c>
      <c r="AB50" s="37">
        <f t="shared" si="12"/>
        <v>14.151515619877463</v>
      </c>
    </row>
    <row r="51" spans="1:28" x14ac:dyDescent="0.25">
      <c r="A51" s="4" t="s">
        <v>218</v>
      </c>
      <c r="B51" s="37">
        <f t="shared" ref="B51:AB51" si="13">B31*B15*$F$7</f>
        <v>0.73394903228879915</v>
      </c>
      <c r="C51" s="37">
        <f t="shared" si="13"/>
        <v>0.72327359919064338</v>
      </c>
      <c r="D51" s="37">
        <f t="shared" si="13"/>
        <v>0.7099698401357436</v>
      </c>
      <c r="E51" s="37">
        <f t="shared" si="13"/>
        <v>0.69656487176940063</v>
      </c>
      <c r="F51" s="37">
        <f t="shared" si="13"/>
        <v>0.68306359379840587</v>
      </c>
      <c r="G51" s="37">
        <f t="shared" si="13"/>
        <v>0.66977421387612746</v>
      </c>
      <c r="H51" s="37">
        <f t="shared" si="13"/>
        <v>0.65623741961529047</v>
      </c>
      <c r="I51" s="37">
        <f t="shared" si="13"/>
        <v>0.64244145779024064</v>
      </c>
      <c r="J51" s="37">
        <f t="shared" si="13"/>
        <v>0.6288873134531896</v>
      </c>
      <c r="K51" s="37">
        <f t="shared" si="13"/>
        <v>0.6155465285213626</v>
      </c>
      <c r="L51" s="37">
        <f t="shared" si="13"/>
        <v>0.60271440291895362</v>
      </c>
      <c r="M51" s="37">
        <f t="shared" si="13"/>
        <v>0.59053096898929192</v>
      </c>
      <c r="N51" s="37">
        <f t="shared" si="13"/>
        <v>0.5785387927461354</v>
      </c>
      <c r="O51" s="37">
        <f t="shared" si="13"/>
        <v>0.56717671211349441</v>
      </c>
      <c r="P51" s="37">
        <f t="shared" si="13"/>
        <v>0.55599118256331559</v>
      </c>
      <c r="Q51" s="37">
        <f t="shared" si="13"/>
        <v>0.5452692102157245</v>
      </c>
      <c r="R51" s="37">
        <f t="shared" si="13"/>
        <v>0.53485410967509373</v>
      </c>
      <c r="S51" s="37">
        <f t="shared" si="13"/>
        <v>0.52400004333326378</v>
      </c>
      <c r="T51" s="37">
        <f t="shared" si="13"/>
        <v>0.513456308716013</v>
      </c>
      <c r="U51" s="37">
        <f t="shared" si="13"/>
        <v>0.5030673096554894</v>
      </c>
      <c r="V51" s="37">
        <f t="shared" si="13"/>
        <v>0.49310967482918117</v>
      </c>
      <c r="W51" s="37">
        <f t="shared" si="13"/>
        <v>0.48313996535959453</v>
      </c>
      <c r="X51" s="37">
        <f t="shared" si="13"/>
        <v>0.47357682228347941</v>
      </c>
      <c r="Y51" s="37">
        <f t="shared" si="13"/>
        <v>0.46455112647591007</v>
      </c>
      <c r="Z51" s="37">
        <f t="shared" si="13"/>
        <v>0.45562512044775105</v>
      </c>
      <c r="AA51" s="37">
        <f t="shared" si="13"/>
        <v>0.44707175875962446</v>
      </c>
      <c r="AB51" s="37">
        <f t="shared" si="13"/>
        <v>0.43859968501140417</v>
      </c>
    </row>
    <row r="52" spans="1:28" x14ac:dyDescent="0.25">
      <c r="A52" s="4" t="s">
        <v>219</v>
      </c>
      <c r="B52" s="37">
        <f t="shared" ref="B52:AB52" si="14">B32*B15*$F$8</f>
        <v>0.29533501404325146</v>
      </c>
      <c r="C52" s="37">
        <f t="shared" si="14"/>
        <v>0.29604024330166928</v>
      </c>
      <c r="D52" s="37">
        <f t="shared" si="14"/>
        <v>0.29557483086353964</v>
      </c>
      <c r="E52" s="37">
        <f t="shared" si="14"/>
        <v>0.29548553190153487</v>
      </c>
      <c r="F52" s="37">
        <f t="shared" si="14"/>
        <v>0.29543255805451402</v>
      </c>
      <c r="G52" s="37">
        <f t="shared" si="14"/>
        <v>0.29541724313979384</v>
      </c>
      <c r="H52" s="37">
        <f t="shared" si="14"/>
        <v>0.29544253445611157</v>
      </c>
      <c r="I52" s="37">
        <f t="shared" si="14"/>
        <v>0.29522343582948191</v>
      </c>
      <c r="J52" s="37">
        <f t="shared" si="14"/>
        <v>0.29505249775446646</v>
      </c>
      <c r="K52" s="37">
        <f t="shared" si="14"/>
        <v>0.29557908371879543</v>
      </c>
      <c r="L52" s="37">
        <f t="shared" si="14"/>
        <v>0.29548302121776482</v>
      </c>
      <c r="M52" s="37">
        <f t="shared" si="14"/>
        <v>0.29542746776211221</v>
      </c>
      <c r="N52" s="37">
        <f t="shared" si="14"/>
        <v>0.29541302454784729</v>
      </c>
      <c r="O52" s="37">
        <f t="shared" si="14"/>
        <v>0.29544032360468664</v>
      </c>
      <c r="P52" s="37">
        <f t="shared" si="14"/>
        <v>0.29518738674065792</v>
      </c>
      <c r="Q52" s="37">
        <f t="shared" si="14"/>
        <v>0.29529969979997039</v>
      </c>
      <c r="R52" s="37">
        <f t="shared" si="14"/>
        <v>0.29481352285344559</v>
      </c>
      <c r="S52" s="37">
        <f t="shared" si="14"/>
        <v>0.29435855164979302</v>
      </c>
      <c r="T52" s="37">
        <f t="shared" si="14"/>
        <v>0.29426024862789474</v>
      </c>
      <c r="U52" s="37">
        <f t="shared" si="14"/>
        <v>0.29356576256731215</v>
      </c>
      <c r="V52" s="37">
        <f t="shared" si="14"/>
        <v>0.29322177027496521</v>
      </c>
      <c r="W52" s="37">
        <f t="shared" si="14"/>
        <v>0.29290748203296552</v>
      </c>
      <c r="X52" s="37">
        <f t="shared" si="14"/>
        <v>0.29230745313084067</v>
      </c>
      <c r="Y52" s="37">
        <f t="shared" si="14"/>
        <v>0.29235290907890527</v>
      </c>
      <c r="Z52" s="37">
        <f t="shared" si="14"/>
        <v>0.2917972592707529</v>
      </c>
      <c r="AA52" s="37">
        <f t="shared" si="14"/>
        <v>0.29125904773450234</v>
      </c>
      <c r="AB52" s="37">
        <f t="shared" si="14"/>
        <v>0.29073431420356788</v>
      </c>
    </row>
    <row r="53" spans="1:28" x14ac:dyDescent="0.25">
      <c r="A53" s="4" t="s">
        <v>220</v>
      </c>
      <c r="B53" s="37">
        <f t="shared" ref="B53:AB53" si="15">B33*B15*$F$9</f>
        <v>3.0383173077248951</v>
      </c>
      <c r="C53" s="37">
        <f t="shared" si="15"/>
        <v>3.0609890040154735</v>
      </c>
      <c r="D53" s="37">
        <f t="shared" si="15"/>
        <v>3.0654946307035646</v>
      </c>
      <c r="E53" s="37">
        <f t="shared" si="15"/>
        <v>3.0742493546914007</v>
      </c>
      <c r="F53" s="37">
        <f t="shared" si="15"/>
        <v>3.0813186985833578</v>
      </c>
      <c r="G53" s="37">
        <f t="shared" si="15"/>
        <v>3.0847875347818352</v>
      </c>
      <c r="H53" s="37">
        <f t="shared" si="15"/>
        <v>3.096457107328344</v>
      </c>
      <c r="I53" s="37">
        <f t="shared" si="15"/>
        <v>3.0976865254960324</v>
      </c>
      <c r="J53" s="37">
        <f t="shared" si="15"/>
        <v>3.1013172659160131</v>
      </c>
      <c r="K53" s="37">
        <f t="shared" si="15"/>
        <v>3.0995301251835956</v>
      </c>
      <c r="L53" s="37">
        <f t="shared" si="15"/>
        <v>3.1000758738924601</v>
      </c>
      <c r="M53" s="37">
        <f t="shared" si="15"/>
        <v>3.0953176695024038</v>
      </c>
      <c r="N53" s="37">
        <f t="shared" si="15"/>
        <v>3.0948206010343999</v>
      </c>
      <c r="O53" s="37">
        <f t="shared" si="15"/>
        <v>3.0909874448051204</v>
      </c>
      <c r="P53" s="37">
        <f t="shared" si="15"/>
        <v>3.0838677086386457</v>
      </c>
      <c r="Q53" s="37">
        <f t="shared" si="15"/>
        <v>3.0735007821235598</v>
      </c>
      <c r="R53" s="37">
        <f t="shared" si="15"/>
        <v>3.0636503677783939</v>
      </c>
      <c r="S53" s="37">
        <f t="shared" si="15"/>
        <v>3.0490015575483889</v>
      </c>
      <c r="T53" s="37">
        <f t="shared" si="15"/>
        <v>3.0274665250709156</v>
      </c>
      <c r="U53" s="37">
        <f t="shared" si="15"/>
        <v>3.0101531442420435</v>
      </c>
      <c r="V53" s="37">
        <f t="shared" si="15"/>
        <v>2.9896411210171925</v>
      </c>
      <c r="W53" s="37">
        <f t="shared" si="15"/>
        <v>2.9695787303872483</v>
      </c>
      <c r="X53" s="37">
        <f t="shared" si="15"/>
        <v>2.9535505400909803</v>
      </c>
      <c r="Y53" s="37">
        <f t="shared" si="15"/>
        <v>2.9324344342437452</v>
      </c>
      <c r="Z53" s="37">
        <f t="shared" si="15"/>
        <v>2.917063058887627</v>
      </c>
      <c r="AA53" s="37">
        <f t="shared" si="15"/>
        <v>2.8965601096742555</v>
      </c>
      <c r="AB53" s="37">
        <f t="shared" si="15"/>
        <v>2.8816729289365721</v>
      </c>
    </row>
    <row r="54" spans="1:28" x14ac:dyDescent="0.25">
      <c r="A54" s="4" t="s">
        <v>221</v>
      </c>
      <c r="B54" s="37">
        <f t="shared" ref="B54:AB54" si="16">B34*B15*$F$10</f>
        <v>3.7981694983266587</v>
      </c>
      <c r="C54" s="37">
        <f t="shared" si="16"/>
        <v>3.8098238503371009</v>
      </c>
      <c r="D54" s="37">
        <f t="shared" si="16"/>
        <v>3.8083627314590891</v>
      </c>
      <c r="E54" s="37">
        <f t="shared" si="16"/>
        <v>3.8083097147866858</v>
      </c>
      <c r="F54" s="37">
        <f t="shared" si="16"/>
        <v>3.8116343527334795</v>
      </c>
      <c r="G54" s="37">
        <f t="shared" si="16"/>
        <v>3.8115319876116995</v>
      </c>
      <c r="H54" s="37">
        <f t="shared" si="16"/>
        <v>3.8109881096224973</v>
      </c>
      <c r="I54" s="37">
        <f t="shared" si="16"/>
        <v>3.8063406961978008</v>
      </c>
      <c r="J54" s="37">
        <f t="shared" si="16"/>
        <v>3.800423688541652</v>
      </c>
      <c r="K54" s="37">
        <f t="shared" si="16"/>
        <v>3.793139482976343</v>
      </c>
      <c r="L54" s="37">
        <f t="shared" si="16"/>
        <v>3.7835813111102095</v>
      </c>
      <c r="M54" s="37">
        <f t="shared" si="16"/>
        <v>3.7717964986212866</v>
      </c>
      <c r="N54" s="37">
        <f t="shared" si="16"/>
        <v>3.7578259858061958</v>
      </c>
      <c r="O54" s="37">
        <f t="shared" si="16"/>
        <v>3.7417080836483909</v>
      </c>
      <c r="P54" s="37">
        <f t="shared" si="16"/>
        <v>3.7206866023337382</v>
      </c>
      <c r="Q54" s="37">
        <f t="shared" si="16"/>
        <v>3.6975912896430541</v>
      </c>
      <c r="R54" s="37">
        <f t="shared" si="16"/>
        <v>3.669669094307511</v>
      </c>
      <c r="S54" s="37">
        <f t="shared" si="16"/>
        <v>3.6383617885542208</v>
      </c>
      <c r="T54" s="37">
        <f t="shared" si="16"/>
        <v>3.6041367213193425</v>
      </c>
      <c r="U54" s="37">
        <f t="shared" si="16"/>
        <v>3.5669988494223097</v>
      </c>
      <c r="V54" s="37">
        <f t="shared" si="16"/>
        <v>3.5305594828300451</v>
      </c>
      <c r="W54" s="37">
        <f t="shared" si="16"/>
        <v>3.4902506685207686</v>
      </c>
      <c r="X54" s="37">
        <f t="shared" si="16"/>
        <v>3.4550415426352248</v>
      </c>
      <c r="Y54" s="37">
        <f t="shared" si="16"/>
        <v>3.4194711191277607</v>
      </c>
      <c r="Z54" s="37">
        <f t="shared" si="16"/>
        <v>3.3843849868825067</v>
      </c>
      <c r="AA54" s="37">
        <f t="shared" si="16"/>
        <v>3.3506154410803455</v>
      </c>
      <c r="AB54" s="37">
        <f t="shared" si="16"/>
        <v>3.3189835780123516</v>
      </c>
    </row>
    <row r="55" spans="1:28" x14ac:dyDescent="0.25">
      <c r="A55" s="4" t="s">
        <v>222</v>
      </c>
      <c r="B55" s="37">
        <f t="shared" ref="B55:AB55" si="17">B35*B15*$F$11</f>
        <v>25.189774988142343</v>
      </c>
      <c r="C55" s="37">
        <f t="shared" si="17"/>
        <v>24.915903083759247</v>
      </c>
      <c r="D55" s="37">
        <f t="shared" si="17"/>
        <v>24.539797973715636</v>
      </c>
      <c r="E55" s="37">
        <f t="shared" si="17"/>
        <v>24.16628178238928</v>
      </c>
      <c r="F55" s="37">
        <f t="shared" si="17"/>
        <v>23.785983789488682</v>
      </c>
      <c r="G55" s="37">
        <f t="shared" si="17"/>
        <v>23.416001847353339</v>
      </c>
      <c r="H55" s="37">
        <f t="shared" si="17"/>
        <v>23.048808455860371</v>
      </c>
      <c r="I55" s="37">
        <f t="shared" si="17"/>
        <v>22.664249154224702</v>
      </c>
      <c r="J55" s="37">
        <f t="shared" si="17"/>
        <v>22.283449953384924</v>
      </c>
      <c r="K55" s="37">
        <f t="shared" si="17"/>
        <v>21.903667623582976</v>
      </c>
      <c r="L55" s="37">
        <f t="shared" si="17"/>
        <v>21.528551198527943</v>
      </c>
      <c r="M55" s="37">
        <f t="shared" si="17"/>
        <v>21.156160232875521</v>
      </c>
      <c r="N55" s="37">
        <f t="shared" si="17"/>
        <v>20.790042115552783</v>
      </c>
      <c r="O55" s="37">
        <f t="shared" si="17"/>
        <v>20.422774571150224</v>
      </c>
      <c r="P55" s="37">
        <f t="shared" si="17"/>
        <v>20.059702539895994</v>
      </c>
      <c r="Q55" s="37">
        <f t="shared" si="17"/>
        <v>19.700631220187557</v>
      </c>
      <c r="R55" s="37">
        <f t="shared" si="17"/>
        <v>19.347143118083238</v>
      </c>
      <c r="S55" s="37">
        <f t="shared" si="17"/>
        <v>18.972214588779824</v>
      </c>
      <c r="T55" s="37">
        <f t="shared" si="17"/>
        <v>18.606665119901884</v>
      </c>
      <c r="U55" s="37">
        <f t="shared" si="17"/>
        <v>18.253656830375757</v>
      </c>
      <c r="V55" s="37">
        <f t="shared" si="17"/>
        <v>17.909194275106383</v>
      </c>
      <c r="W55" s="37">
        <f t="shared" si="17"/>
        <v>17.581628977926126</v>
      </c>
      <c r="X55" s="37">
        <f t="shared" si="17"/>
        <v>17.261695990138801</v>
      </c>
      <c r="Y55" s="37">
        <f t="shared" si="17"/>
        <v>16.954317522106319</v>
      </c>
      <c r="Z55" s="37">
        <f t="shared" si="17"/>
        <v>16.657336975944503</v>
      </c>
      <c r="AA55" s="37">
        <f t="shared" si="17"/>
        <v>16.368643312956575</v>
      </c>
      <c r="AB55" s="37">
        <f t="shared" si="17"/>
        <v>16.089617197130803</v>
      </c>
    </row>
    <row r="57" spans="1:28" x14ac:dyDescent="0.25">
      <c r="A57" s="4" t="s">
        <v>327</v>
      </c>
    </row>
    <row r="58" spans="1:28" x14ac:dyDescent="0.25">
      <c r="A58" s="4" t="s">
        <v>215</v>
      </c>
      <c r="B58" s="37">
        <f t="shared" ref="B58:AB58" si="18">B38*B15*$F$4</f>
        <v>2684.7859840589563</v>
      </c>
      <c r="C58" s="37">
        <f t="shared" si="18"/>
        <v>2730.7025972851675</v>
      </c>
      <c r="D58" s="37">
        <f t="shared" si="18"/>
        <v>2765.1778297838973</v>
      </c>
      <c r="E58" s="37">
        <f t="shared" si="18"/>
        <v>2799.4179865000597</v>
      </c>
      <c r="F58" s="37">
        <f t="shared" si="18"/>
        <v>2833.666534814547</v>
      </c>
      <c r="G58" s="37">
        <f t="shared" si="18"/>
        <v>2868.0084098652169</v>
      </c>
      <c r="H58" s="37">
        <f t="shared" si="18"/>
        <v>2902.2489120491364</v>
      </c>
      <c r="I58" s="37">
        <f t="shared" si="18"/>
        <v>2933.356750098988</v>
      </c>
      <c r="J58" s="37">
        <f t="shared" si="18"/>
        <v>2963.7305714794079</v>
      </c>
      <c r="K58" s="37">
        <f t="shared" si="18"/>
        <v>2993.3297659504588</v>
      </c>
      <c r="L58" s="37">
        <f t="shared" si="18"/>
        <v>3021.9133618283104</v>
      </c>
      <c r="M58" s="37">
        <f t="shared" si="18"/>
        <v>3049.4449359544437</v>
      </c>
      <c r="N58" s="37">
        <f t="shared" si="18"/>
        <v>3075.6282004402005</v>
      </c>
      <c r="O58" s="37">
        <f t="shared" si="18"/>
        <v>3100.3650846691125</v>
      </c>
      <c r="P58" s="37">
        <f t="shared" si="18"/>
        <v>3123.2772294868032</v>
      </c>
      <c r="Q58" s="37">
        <f t="shared" si="18"/>
        <v>3144.3231115721446</v>
      </c>
      <c r="R58" s="37">
        <f t="shared" si="18"/>
        <v>3163.0488159628731</v>
      </c>
      <c r="S58" s="37">
        <f t="shared" si="18"/>
        <v>3175.92447511926</v>
      </c>
      <c r="T58" s="37">
        <f t="shared" si="18"/>
        <v>3186.3474831207777</v>
      </c>
      <c r="U58" s="37">
        <f t="shared" si="18"/>
        <v>3194.5135235286371</v>
      </c>
      <c r="V58" s="37">
        <f t="shared" si="18"/>
        <v>3199.679387739679</v>
      </c>
      <c r="W58" s="37">
        <f t="shared" si="18"/>
        <v>3202.0608922241377</v>
      </c>
      <c r="X58" s="37">
        <f t="shared" si="18"/>
        <v>3201.5069594479464</v>
      </c>
      <c r="Y58" s="37">
        <f t="shared" si="18"/>
        <v>3199.3592361441147</v>
      </c>
      <c r="Z58" s="37">
        <f t="shared" si="18"/>
        <v>3194.4638619495045</v>
      </c>
      <c r="AA58" s="37">
        <f t="shared" si="18"/>
        <v>3187.038338954922</v>
      </c>
      <c r="AB58" s="37">
        <f t="shared" si="18"/>
        <v>3177.3894653886496</v>
      </c>
    </row>
    <row r="59" spans="1:28" x14ac:dyDescent="0.25">
      <c r="A59" s="4" t="s">
        <v>216</v>
      </c>
      <c r="B59" s="37">
        <f t="shared" ref="B59:AB59" si="19">B39*B15*$F$5</f>
        <v>2368.8977162515203</v>
      </c>
      <c r="C59" s="37">
        <f t="shared" si="19"/>
        <v>2403.1712620859653</v>
      </c>
      <c r="D59" s="37">
        <f t="shared" si="19"/>
        <v>2427.585995293186</v>
      </c>
      <c r="E59" s="37">
        <f t="shared" si="19"/>
        <v>2453.0933502308762</v>
      </c>
      <c r="F59" s="37">
        <f t="shared" si="19"/>
        <v>2480.3724196594576</v>
      </c>
      <c r="G59" s="37">
        <f t="shared" si="19"/>
        <v>2509.5346134751276</v>
      </c>
      <c r="H59" s="37">
        <f t="shared" si="19"/>
        <v>2540.7909360765971</v>
      </c>
      <c r="I59" s="37">
        <f t="shared" si="19"/>
        <v>2571.3697659807335</v>
      </c>
      <c r="J59" s="37">
        <f t="shared" si="19"/>
        <v>2603.5799046677812</v>
      </c>
      <c r="K59" s="37">
        <f t="shared" si="19"/>
        <v>2636.7400037748116</v>
      </c>
      <c r="L59" s="37">
        <f t="shared" si="19"/>
        <v>2670.7859683503402</v>
      </c>
      <c r="M59" s="37">
        <f t="shared" si="19"/>
        <v>2705.546908652178</v>
      </c>
      <c r="N59" s="37">
        <f t="shared" si="19"/>
        <v>2740.4408768981057</v>
      </c>
      <c r="O59" s="37">
        <f t="shared" si="19"/>
        <v>2774.9226332290755</v>
      </c>
      <c r="P59" s="37">
        <f t="shared" si="19"/>
        <v>2808.8783505083838</v>
      </c>
      <c r="Q59" s="37">
        <f t="shared" si="19"/>
        <v>2841.5451415009734</v>
      </c>
      <c r="R59" s="37">
        <f t="shared" si="19"/>
        <v>2872.7236318043956</v>
      </c>
      <c r="S59" s="37">
        <f t="shared" si="19"/>
        <v>2898.640894459802</v>
      </c>
      <c r="T59" s="37">
        <f t="shared" si="19"/>
        <v>2922.3116598424936</v>
      </c>
      <c r="U59" s="37">
        <f t="shared" si="19"/>
        <v>2943.492563258329</v>
      </c>
      <c r="V59" s="37">
        <f t="shared" si="19"/>
        <v>2961.5467862572123</v>
      </c>
      <c r="W59" s="37">
        <f t="shared" si="19"/>
        <v>2975.9126409776413</v>
      </c>
      <c r="X59" s="37">
        <f t="shared" si="19"/>
        <v>2986.7843988716736</v>
      </c>
      <c r="Y59" s="37">
        <f t="shared" si="19"/>
        <v>2995.5818730376095</v>
      </c>
      <c r="Z59" s="37">
        <f t="shared" si="19"/>
        <v>3001.037782587769</v>
      </c>
      <c r="AA59" s="37">
        <f t="shared" si="19"/>
        <v>3002.7203187076102</v>
      </c>
      <c r="AB59" s="37">
        <f t="shared" si="19"/>
        <v>3000.7132139099444</v>
      </c>
    </row>
    <row r="60" spans="1:28" x14ac:dyDescent="0.25">
      <c r="A60" s="4" t="s">
        <v>217</v>
      </c>
      <c r="B60" s="37">
        <f t="shared" ref="B60:AB60" si="20">B40*B15*$F$6</f>
        <v>5007.8597330848334</v>
      </c>
      <c r="C60" s="37">
        <f t="shared" si="20"/>
        <v>5086.0874703442678</v>
      </c>
      <c r="D60" s="37">
        <f t="shared" si="20"/>
        <v>5142.8095006636204</v>
      </c>
      <c r="E60" s="37">
        <f t="shared" si="20"/>
        <v>5199.9519849676062</v>
      </c>
      <c r="F60" s="37">
        <f t="shared" si="20"/>
        <v>5258.5756650400908</v>
      </c>
      <c r="G60" s="37">
        <f t="shared" si="20"/>
        <v>5318.6911516437813</v>
      </c>
      <c r="H60" s="37">
        <f t="shared" si="20"/>
        <v>5380.4825077973037</v>
      </c>
      <c r="I60" s="37">
        <f t="shared" si="20"/>
        <v>5438.1069293150895</v>
      </c>
      <c r="J60" s="37">
        <f t="shared" si="20"/>
        <v>5496.3059131383116</v>
      </c>
      <c r="K60" s="37">
        <f t="shared" si="20"/>
        <v>5554.1098625595423</v>
      </c>
      <c r="L60" s="37">
        <f t="shared" si="20"/>
        <v>5611.23658068846</v>
      </c>
      <c r="M60" s="37">
        <f t="shared" si="20"/>
        <v>5667.4836387830655</v>
      </c>
      <c r="N60" s="37">
        <f t="shared" si="20"/>
        <v>5721.8439126289004</v>
      </c>
      <c r="O60" s="37">
        <f t="shared" si="20"/>
        <v>5773.7793193221305</v>
      </c>
      <c r="P60" s="37">
        <f t="shared" si="20"/>
        <v>5822.5818902829842</v>
      </c>
      <c r="Q60" s="37">
        <f t="shared" si="20"/>
        <v>5867.5111213875689</v>
      </c>
      <c r="R60" s="37">
        <f t="shared" si="20"/>
        <v>5907.8656109438089</v>
      </c>
      <c r="S60" s="37">
        <f t="shared" si="20"/>
        <v>5936.4915110121656</v>
      </c>
      <c r="T60" s="37">
        <f t="shared" si="20"/>
        <v>5959.7102938622493</v>
      </c>
      <c r="U60" s="37">
        <f t="shared" si="20"/>
        <v>5977.5665726727602</v>
      </c>
      <c r="V60" s="37">
        <f t="shared" si="20"/>
        <v>5988.5240882289536</v>
      </c>
      <c r="W60" s="37">
        <f t="shared" si="20"/>
        <v>5992.1981489330901</v>
      </c>
      <c r="X60" s="37">
        <f t="shared" si="20"/>
        <v>5988.7817698841764</v>
      </c>
      <c r="Y60" s="37">
        <f t="shared" si="20"/>
        <v>5981.3840601447791</v>
      </c>
      <c r="Z60" s="37">
        <f t="shared" si="20"/>
        <v>5967.3653626565811</v>
      </c>
      <c r="AA60" s="37">
        <f t="shared" si="20"/>
        <v>5946.413067437963</v>
      </c>
      <c r="AB60" s="37">
        <f t="shared" si="20"/>
        <v>5919.0903491513218</v>
      </c>
    </row>
    <row r="61" spans="1:28" x14ac:dyDescent="0.25">
      <c r="A61" s="4" t="s">
        <v>218</v>
      </c>
      <c r="B61" s="37">
        <f t="shared" ref="B61:AB61" si="21">B41*B15*$F$7</f>
        <v>56.742826595488729</v>
      </c>
      <c r="C61" s="37">
        <f t="shared" si="21"/>
        <v>57.535905468010618</v>
      </c>
      <c r="D61" s="37">
        <f t="shared" si="21"/>
        <v>58.095586101544733</v>
      </c>
      <c r="E61" s="37">
        <f t="shared" si="21"/>
        <v>58.658396640874166</v>
      </c>
      <c r="F61" s="37">
        <f t="shared" si="21"/>
        <v>59.243527831464903</v>
      </c>
      <c r="G61" s="37">
        <f t="shared" si="21"/>
        <v>59.852481052762016</v>
      </c>
      <c r="H61" s="37">
        <f t="shared" si="21"/>
        <v>60.483725642685961</v>
      </c>
      <c r="I61" s="37">
        <f t="shared" si="21"/>
        <v>61.08019771806326</v>
      </c>
      <c r="J61" s="37">
        <f t="shared" si="21"/>
        <v>61.696541546621937</v>
      </c>
      <c r="K61" s="37">
        <f t="shared" si="21"/>
        <v>62.328758378699852</v>
      </c>
      <c r="L61" s="37">
        <f t="shared" si="21"/>
        <v>62.976904943723689</v>
      </c>
      <c r="M61" s="37">
        <f t="shared" si="21"/>
        <v>63.637737455899156</v>
      </c>
      <c r="N61" s="37">
        <f t="shared" si="21"/>
        <v>64.314278676345239</v>
      </c>
      <c r="O61" s="37">
        <f t="shared" si="21"/>
        <v>64.990281021748032</v>
      </c>
      <c r="P61" s="37">
        <f t="shared" si="21"/>
        <v>65.672994550368486</v>
      </c>
      <c r="Q61" s="37">
        <f t="shared" si="21"/>
        <v>66.349162042741327</v>
      </c>
      <c r="R61" s="37">
        <f t="shared" si="21"/>
        <v>67.017351571684571</v>
      </c>
      <c r="S61" s="37">
        <f t="shared" si="21"/>
        <v>67.601682257127152</v>
      </c>
      <c r="T61" s="37">
        <f t="shared" si="21"/>
        <v>68.163787949671544</v>
      </c>
      <c r="U61" s="37">
        <f t="shared" si="21"/>
        <v>68.704888999259722</v>
      </c>
      <c r="V61" s="37">
        <f t="shared" si="21"/>
        <v>69.217147384743996</v>
      </c>
      <c r="W61" s="37">
        <f t="shared" si="21"/>
        <v>69.687971339671904</v>
      </c>
      <c r="X61" s="37">
        <f t="shared" si="21"/>
        <v>70.113005823180174</v>
      </c>
      <c r="Y61" s="37">
        <f t="shared" si="21"/>
        <v>70.510239293154939</v>
      </c>
      <c r="Z61" s="37">
        <f t="shared" si="21"/>
        <v>70.860440113430016</v>
      </c>
      <c r="AA61" s="37">
        <f t="shared" si="21"/>
        <v>71.163329484398957</v>
      </c>
      <c r="AB61" s="37">
        <f t="shared" si="21"/>
        <v>71.411875870770544</v>
      </c>
    </row>
    <row r="62" spans="1:28" x14ac:dyDescent="0.25">
      <c r="A62" s="4" t="s">
        <v>219</v>
      </c>
      <c r="B62" s="37">
        <f t="shared" ref="B62:AB62" si="22">B42*B15*$F$8</f>
        <v>41.797279287122329</v>
      </c>
      <c r="C62" s="37">
        <f t="shared" si="22"/>
        <v>42.734642621609723</v>
      </c>
      <c r="D62" s="37">
        <f t="shared" si="22"/>
        <v>43.527570074965418</v>
      </c>
      <c r="E62" s="37">
        <f t="shared" si="22"/>
        <v>44.380841296085755</v>
      </c>
      <c r="F62" s="37">
        <f t="shared" si="22"/>
        <v>45.306861828821866</v>
      </c>
      <c r="G62" s="37">
        <f t="shared" si="22"/>
        <v>46.304216258052605</v>
      </c>
      <c r="H62" s="37">
        <f t="shared" si="22"/>
        <v>47.375532028589134</v>
      </c>
      <c r="I62" s="37">
        <f t="shared" si="22"/>
        <v>48.473558027925499</v>
      </c>
      <c r="J62" s="37">
        <f t="shared" si="22"/>
        <v>49.617829465250544</v>
      </c>
      <c r="K62" s="37">
        <f t="shared" si="22"/>
        <v>50.798082929679005</v>
      </c>
      <c r="L62" s="37">
        <f t="shared" si="22"/>
        <v>52.026984389622491</v>
      </c>
      <c r="M62" s="37">
        <f t="shared" si="22"/>
        <v>53.294135866712345</v>
      </c>
      <c r="N62" s="37">
        <f t="shared" si="22"/>
        <v>54.592586925902722</v>
      </c>
      <c r="O62" s="37">
        <f t="shared" si="22"/>
        <v>55.912647529773267</v>
      </c>
      <c r="P62" s="37">
        <f t="shared" si="22"/>
        <v>57.249273408149143</v>
      </c>
      <c r="Q62" s="37">
        <f t="shared" si="22"/>
        <v>58.591633153463476</v>
      </c>
      <c r="R62" s="37">
        <f t="shared" si="22"/>
        <v>59.934438080398031</v>
      </c>
      <c r="S62" s="37">
        <f t="shared" si="22"/>
        <v>61.198574902567572</v>
      </c>
      <c r="T62" s="37">
        <f t="shared" si="22"/>
        <v>62.450957093619998</v>
      </c>
      <c r="U62" s="37">
        <f t="shared" si="22"/>
        <v>63.678229309794212</v>
      </c>
      <c r="V62" s="37">
        <f t="shared" si="22"/>
        <v>64.882694308883657</v>
      </c>
      <c r="W62" s="37">
        <f t="shared" si="22"/>
        <v>66.060171540164788</v>
      </c>
      <c r="X62" s="37">
        <f t="shared" si="22"/>
        <v>67.216394579151896</v>
      </c>
      <c r="Y62" s="37">
        <f t="shared" si="22"/>
        <v>68.347025744229285</v>
      </c>
      <c r="Z62" s="37">
        <f t="shared" si="22"/>
        <v>69.454232089978532</v>
      </c>
      <c r="AA62" s="37">
        <f t="shared" si="22"/>
        <v>70.53728226258653</v>
      </c>
      <c r="AB62" s="37">
        <f t="shared" si="22"/>
        <v>71.591103772757165</v>
      </c>
    </row>
    <row r="63" spans="1:28" x14ac:dyDescent="0.25">
      <c r="A63" s="4" t="s">
        <v>220</v>
      </c>
      <c r="B63" s="37">
        <f t="shared" ref="B63:AB63" si="23">B43*B15*$F$9</f>
        <v>133.96817678389354</v>
      </c>
      <c r="C63" s="37">
        <f t="shared" si="23"/>
        <v>136.78082346943864</v>
      </c>
      <c r="D63" s="37">
        <f t="shared" si="23"/>
        <v>139.15276762644066</v>
      </c>
      <c r="E63" s="37">
        <f t="shared" si="23"/>
        <v>141.77179026676671</v>
      </c>
      <c r="F63" s="37">
        <f t="shared" si="23"/>
        <v>144.40233632523478</v>
      </c>
      <c r="G63" s="37">
        <f t="shared" si="23"/>
        <v>147.25006791902661</v>
      </c>
      <c r="H63" s="37">
        <f t="shared" si="23"/>
        <v>150.18012207434478</v>
      </c>
      <c r="I63" s="37">
        <f t="shared" si="23"/>
        <v>153.01406162022312</v>
      </c>
      <c r="J63" s="37">
        <f t="shared" si="23"/>
        <v>155.90254265788266</v>
      </c>
      <c r="K63" s="37">
        <f t="shared" si="23"/>
        <v>159.0124328924058</v>
      </c>
      <c r="L63" s="37">
        <f t="shared" si="23"/>
        <v>162.1894633899725</v>
      </c>
      <c r="M63" s="37">
        <f t="shared" si="23"/>
        <v>165.48234944965589</v>
      </c>
      <c r="N63" s="37">
        <f t="shared" si="23"/>
        <v>168.81753331242979</v>
      </c>
      <c r="O63" s="37">
        <f t="shared" si="23"/>
        <v>172.20784174778046</v>
      </c>
      <c r="P63" s="37">
        <f t="shared" si="23"/>
        <v>175.69772147826859</v>
      </c>
      <c r="Q63" s="37">
        <f t="shared" si="23"/>
        <v>179.26319735442425</v>
      </c>
      <c r="R63" s="37">
        <f t="shared" si="23"/>
        <v>182.86932776877478</v>
      </c>
      <c r="S63" s="37">
        <f t="shared" si="23"/>
        <v>186.25091548524728</v>
      </c>
      <c r="T63" s="37">
        <f t="shared" si="23"/>
        <v>189.66024265577047</v>
      </c>
      <c r="U63" s="37">
        <f t="shared" si="23"/>
        <v>193.04722976398239</v>
      </c>
      <c r="V63" s="37">
        <f t="shared" si="23"/>
        <v>196.35640470563163</v>
      </c>
      <c r="W63" s="37">
        <f t="shared" si="23"/>
        <v>199.70781774966082</v>
      </c>
      <c r="X63" s="37">
        <f t="shared" si="23"/>
        <v>203.00483075647469</v>
      </c>
      <c r="Y63" s="37">
        <f t="shared" si="23"/>
        <v>206.30517442938012</v>
      </c>
      <c r="Z63" s="37">
        <f t="shared" si="23"/>
        <v>209.52945038980914</v>
      </c>
      <c r="AA63" s="37">
        <f t="shared" si="23"/>
        <v>212.70873013570721</v>
      </c>
      <c r="AB63" s="37">
        <f t="shared" si="23"/>
        <v>215.87520030916903</v>
      </c>
    </row>
    <row r="64" spans="1:28" x14ac:dyDescent="0.25">
      <c r="A64" s="4" t="s">
        <v>221</v>
      </c>
      <c r="B64" s="37">
        <f t="shared" ref="B64:AB64" si="24">B44*B15*$F$10</f>
        <v>247.30127827037597</v>
      </c>
      <c r="C64" s="37">
        <f t="shared" si="24"/>
        <v>255.74220463233817</v>
      </c>
      <c r="D64" s="37">
        <f t="shared" si="24"/>
        <v>263.29005178572788</v>
      </c>
      <c r="E64" s="37">
        <f t="shared" si="24"/>
        <v>270.99634620161834</v>
      </c>
      <c r="F64" s="37">
        <f t="shared" si="24"/>
        <v>278.86349091516581</v>
      </c>
      <c r="G64" s="37">
        <f t="shared" si="24"/>
        <v>286.92484212996419</v>
      </c>
      <c r="H64" s="37">
        <f t="shared" si="24"/>
        <v>295.27296661750154</v>
      </c>
      <c r="I64" s="37">
        <f t="shared" si="24"/>
        <v>303.61300070997675</v>
      </c>
      <c r="J64" s="37">
        <f t="shared" si="24"/>
        <v>312.14452046837357</v>
      </c>
      <c r="K64" s="37">
        <f t="shared" si="24"/>
        <v>320.93778814039359</v>
      </c>
      <c r="L64" s="37">
        <f t="shared" si="24"/>
        <v>330.04514456420583</v>
      </c>
      <c r="M64" s="37">
        <f t="shared" si="24"/>
        <v>339.38357631568988</v>
      </c>
      <c r="N64" s="37">
        <f t="shared" si="24"/>
        <v>349.03935680429504</v>
      </c>
      <c r="O64" s="37">
        <f t="shared" si="24"/>
        <v>358.95210338437539</v>
      </c>
      <c r="P64" s="37">
        <f t="shared" si="24"/>
        <v>369.10418808654555</v>
      </c>
      <c r="Q64" s="37">
        <f t="shared" si="24"/>
        <v>379.51018427217787</v>
      </c>
      <c r="R64" s="37">
        <f t="shared" si="24"/>
        <v>390.09200075677279</v>
      </c>
      <c r="S64" s="37">
        <f t="shared" si="24"/>
        <v>400.39593528443442</v>
      </c>
      <c r="T64" s="37">
        <f t="shared" si="24"/>
        <v>410.83871343537902</v>
      </c>
      <c r="U64" s="37">
        <f t="shared" si="24"/>
        <v>421.39128150644814</v>
      </c>
      <c r="V64" s="37">
        <f t="shared" si="24"/>
        <v>431.99621738602553</v>
      </c>
      <c r="W64" s="37">
        <f t="shared" si="24"/>
        <v>442.59316307253721</v>
      </c>
      <c r="X64" s="37">
        <f t="shared" si="24"/>
        <v>453.2350418030519</v>
      </c>
      <c r="Y64" s="37">
        <f t="shared" si="24"/>
        <v>463.82989678700767</v>
      </c>
      <c r="Z64" s="37">
        <f t="shared" si="24"/>
        <v>474.37113777475253</v>
      </c>
      <c r="AA64" s="37">
        <f t="shared" si="24"/>
        <v>484.75221738195711</v>
      </c>
      <c r="AB64" s="37">
        <f t="shared" si="24"/>
        <v>494.96042725094202</v>
      </c>
    </row>
    <row r="65" spans="1:28" x14ac:dyDescent="0.25">
      <c r="A65" s="4" t="s">
        <v>222</v>
      </c>
      <c r="B65" s="37">
        <f t="shared" ref="B65:AB65" si="25">B45*B15*$F$11</f>
        <v>5095.3053756533309</v>
      </c>
      <c r="C65" s="37">
        <f t="shared" si="25"/>
        <v>5167.1244941835103</v>
      </c>
      <c r="D65" s="37">
        <f t="shared" si="25"/>
        <v>5217.1859432715346</v>
      </c>
      <c r="E65" s="37">
        <f t="shared" si="25"/>
        <v>5267.9331059953465</v>
      </c>
      <c r="F65" s="37">
        <f t="shared" si="25"/>
        <v>5320.3965863153007</v>
      </c>
      <c r="G65" s="37">
        <f t="shared" si="25"/>
        <v>5374.7294230598836</v>
      </c>
      <c r="H65" s="37">
        <f t="shared" si="25"/>
        <v>5430.7834024239773</v>
      </c>
      <c r="I65" s="37">
        <f t="shared" si="25"/>
        <v>5482.7254694884377</v>
      </c>
      <c r="J65" s="37">
        <f t="shared" si="25"/>
        <v>5535.3689330865909</v>
      </c>
      <c r="K65" s="37">
        <f t="shared" si="25"/>
        <v>5587.756285014163</v>
      </c>
      <c r="L65" s="37">
        <f t="shared" si="25"/>
        <v>5639.4543677220672</v>
      </c>
      <c r="M65" s="37">
        <f t="shared" si="25"/>
        <v>5690.3910106138528</v>
      </c>
      <c r="N65" s="37">
        <f t="shared" si="25"/>
        <v>5739.4170599714553</v>
      </c>
      <c r="O65" s="37">
        <f t="shared" si="25"/>
        <v>5785.9232619631002</v>
      </c>
      <c r="P65" s="37">
        <f t="shared" si="25"/>
        <v>5829.4089298897788</v>
      </c>
      <c r="Q65" s="37">
        <f t="shared" si="25"/>
        <v>5868.9310842915766</v>
      </c>
      <c r="R65" s="37">
        <f t="shared" si="25"/>
        <v>5903.9283584990962</v>
      </c>
      <c r="S65" s="37">
        <f t="shared" si="25"/>
        <v>5927.2011854315824</v>
      </c>
      <c r="T65" s="37">
        <f t="shared" si="25"/>
        <v>5945.0145405354133</v>
      </c>
      <c r="U65" s="37">
        <f t="shared" si="25"/>
        <v>5957.3570316755913</v>
      </c>
      <c r="V65" s="37">
        <f t="shared" si="25"/>
        <v>5962.81826913847</v>
      </c>
      <c r="W65" s="37">
        <f t="shared" si="25"/>
        <v>5961.1063518117999</v>
      </c>
      <c r="X65" s="37">
        <f t="shared" si="25"/>
        <v>5952.1779413776203</v>
      </c>
      <c r="Y65" s="37">
        <f t="shared" si="25"/>
        <v>5939.2684339491298</v>
      </c>
      <c r="Z65" s="37">
        <f t="shared" si="25"/>
        <v>5919.7095288634491</v>
      </c>
      <c r="AA65" s="37">
        <f t="shared" si="25"/>
        <v>5893.4492613392631</v>
      </c>
      <c r="AB65" s="37">
        <f t="shared" si="25"/>
        <v>5860.9364629567253</v>
      </c>
    </row>
    <row r="67" spans="1:28" x14ac:dyDescent="0.25">
      <c r="A67" s="4" t="s">
        <v>328</v>
      </c>
    </row>
    <row r="68" spans="1:28" x14ac:dyDescent="0.25">
      <c r="A68" s="4" t="s">
        <v>329</v>
      </c>
      <c r="B68" s="40">
        <f t="shared" ref="B68:AB68" si="26">B48+B49</f>
        <v>29.607133365778015</v>
      </c>
      <c r="C68" s="40">
        <f t="shared" si="26"/>
        <v>29.378006813144872</v>
      </c>
      <c r="D68" s="40">
        <f t="shared" si="26"/>
        <v>29.032750562470731</v>
      </c>
      <c r="E68" s="40">
        <f t="shared" si="26"/>
        <v>28.692408719630201</v>
      </c>
      <c r="F68" s="40">
        <f t="shared" si="26"/>
        <v>28.35191746408918</v>
      </c>
      <c r="G68" s="40">
        <f t="shared" si="26"/>
        <v>28.014644284807417</v>
      </c>
      <c r="H68" s="40">
        <f t="shared" si="26"/>
        <v>27.679095624197995</v>
      </c>
      <c r="I68" s="40">
        <f t="shared" si="26"/>
        <v>27.320959531343004</v>
      </c>
      <c r="J68" s="40">
        <f t="shared" si="26"/>
        <v>26.963490773062318</v>
      </c>
      <c r="K68" s="40">
        <f t="shared" si="26"/>
        <v>26.604934127813149</v>
      </c>
      <c r="L68" s="40">
        <f t="shared" si="26"/>
        <v>26.246200214817634</v>
      </c>
      <c r="M68" s="40">
        <f t="shared" si="26"/>
        <v>25.886404496031798</v>
      </c>
      <c r="N68" s="40">
        <f t="shared" si="26"/>
        <v>25.528824550118109</v>
      </c>
      <c r="O68" s="40">
        <f t="shared" si="26"/>
        <v>25.165560684089186</v>
      </c>
      <c r="P68" s="40">
        <f t="shared" si="26"/>
        <v>24.79814712392599</v>
      </c>
      <c r="Q68" s="40">
        <f t="shared" si="26"/>
        <v>24.430310817141574</v>
      </c>
      <c r="R68" s="40">
        <f t="shared" si="26"/>
        <v>24.059246068289522</v>
      </c>
      <c r="S68" s="40">
        <f t="shared" si="26"/>
        <v>23.662592754022405</v>
      </c>
      <c r="T68" s="40">
        <f t="shared" si="26"/>
        <v>23.269412393924675</v>
      </c>
      <c r="U68" s="40">
        <f t="shared" si="26"/>
        <v>22.882472434826802</v>
      </c>
      <c r="V68" s="40">
        <f t="shared" si="26"/>
        <v>22.504423616919759</v>
      </c>
      <c r="W68" s="40">
        <f t="shared" si="26"/>
        <v>22.134868804346574</v>
      </c>
      <c r="X68" s="40">
        <f t="shared" si="26"/>
        <v>21.781687603003014</v>
      </c>
      <c r="Y68" s="40">
        <f t="shared" si="26"/>
        <v>21.439052050934855</v>
      </c>
      <c r="Z68" s="40">
        <f t="shared" si="26"/>
        <v>21.106996613467356</v>
      </c>
      <c r="AA68" s="40">
        <f t="shared" si="26"/>
        <v>20.784679867825623</v>
      </c>
      <c r="AB68" s="40">
        <f t="shared" si="26"/>
        <v>20.474603967854065</v>
      </c>
    </row>
    <row r="69" spans="1:28" x14ac:dyDescent="0.25">
      <c r="A69" s="4" t="s">
        <v>330</v>
      </c>
      <c r="B69" s="40">
        <f t="shared" ref="B69:AB69" si="27">B50+B51+B52+B53</f>
        <v>25.126962710844822</v>
      </c>
      <c r="C69" s="40">
        <f t="shared" si="27"/>
        <v>24.977948464263299</v>
      </c>
      <c r="D69" s="40">
        <f t="shared" si="27"/>
        <v>24.727749245512435</v>
      </c>
      <c r="E69" s="40">
        <f t="shared" si="27"/>
        <v>24.482487053017412</v>
      </c>
      <c r="F69" s="40">
        <f t="shared" si="27"/>
        <v>24.238140972671857</v>
      </c>
      <c r="G69" s="40">
        <f t="shared" si="27"/>
        <v>23.995201629689021</v>
      </c>
      <c r="H69" s="40">
        <f t="shared" si="27"/>
        <v>23.756757334433747</v>
      </c>
      <c r="I69" s="40">
        <f t="shared" si="27"/>
        <v>23.495443325065498</v>
      </c>
      <c r="J69" s="40">
        <f t="shared" si="27"/>
        <v>23.23209139407621</v>
      </c>
      <c r="K69" s="40">
        <f t="shared" si="27"/>
        <v>22.960939666937989</v>
      </c>
      <c r="L69" s="40">
        <f t="shared" si="27"/>
        <v>22.686729609623509</v>
      </c>
      <c r="M69" s="40">
        <f t="shared" si="27"/>
        <v>22.402692476412597</v>
      </c>
      <c r="N69" s="40">
        <f t="shared" si="27"/>
        <v>22.117973873491032</v>
      </c>
      <c r="O69" s="40">
        <f t="shared" si="27"/>
        <v>21.819398739820482</v>
      </c>
      <c r="P69" s="40">
        <f t="shared" si="27"/>
        <v>21.514340892124856</v>
      </c>
      <c r="Q69" s="40">
        <f t="shared" si="27"/>
        <v>21.201699523454206</v>
      </c>
      <c r="R69" s="40">
        <f t="shared" si="27"/>
        <v>20.884043430207029</v>
      </c>
      <c r="S69" s="40">
        <f t="shared" si="27"/>
        <v>20.540999721527903</v>
      </c>
      <c r="T69" s="40">
        <f t="shared" si="27"/>
        <v>20.196735583805381</v>
      </c>
      <c r="U69" s="40">
        <f t="shared" si="27"/>
        <v>19.860964446840988</v>
      </c>
      <c r="V69" s="40">
        <f t="shared" si="27"/>
        <v>19.529118435398257</v>
      </c>
      <c r="W69" s="40">
        <f t="shared" si="27"/>
        <v>19.207614927421719</v>
      </c>
      <c r="X69" s="40">
        <f t="shared" si="27"/>
        <v>18.90168403951705</v>
      </c>
      <c r="Y69" s="40">
        <f t="shared" si="27"/>
        <v>18.599080175899903</v>
      </c>
      <c r="Z69" s="40">
        <f t="shared" si="27"/>
        <v>18.310549552318975</v>
      </c>
      <c r="AA69" s="40">
        <f t="shared" si="27"/>
        <v>18.029604461030907</v>
      </c>
      <c r="AB69" s="40">
        <f t="shared" si="27"/>
        <v>17.762522548029008</v>
      </c>
    </row>
    <row r="70" spans="1:28" x14ac:dyDescent="0.25">
      <c r="A70" s="4" t="s">
        <v>331</v>
      </c>
      <c r="B70" s="40">
        <f t="shared" ref="B70:AB70" si="28">B54+B55</f>
        <v>28.987944486469001</v>
      </c>
      <c r="C70" s="40">
        <f t="shared" si="28"/>
        <v>28.725726934096347</v>
      </c>
      <c r="D70" s="40">
        <f t="shared" si="28"/>
        <v>28.348160705174724</v>
      </c>
      <c r="E70" s="40">
        <f t="shared" si="28"/>
        <v>27.974591497175965</v>
      </c>
      <c r="F70" s="40">
        <f t="shared" si="28"/>
        <v>27.59761814222216</v>
      </c>
      <c r="G70" s="40">
        <f t="shared" si="28"/>
        <v>27.227533834965037</v>
      </c>
      <c r="H70" s="40">
        <f t="shared" si="28"/>
        <v>26.859796565482867</v>
      </c>
      <c r="I70" s="40">
        <f t="shared" si="28"/>
        <v>26.470589850422503</v>
      </c>
      <c r="J70" s="40">
        <f t="shared" si="28"/>
        <v>26.083873641926576</v>
      </c>
      <c r="K70" s="40">
        <f t="shared" si="28"/>
        <v>25.696807106559319</v>
      </c>
      <c r="L70" s="40">
        <f t="shared" si="28"/>
        <v>25.312132509638154</v>
      </c>
      <c r="M70" s="40">
        <f t="shared" si="28"/>
        <v>24.927956731496806</v>
      </c>
      <c r="N70" s="40">
        <f t="shared" si="28"/>
        <v>24.547868101358979</v>
      </c>
      <c r="O70" s="40">
        <f t="shared" si="28"/>
        <v>24.164482654798615</v>
      </c>
      <c r="P70" s="40">
        <f t="shared" si="28"/>
        <v>23.780389142229733</v>
      </c>
      <c r="Q70" s="40">
        <f t="shared" si="28"/>
        <v>23.39822250983061</v>
      </c>
      <c r="R70" s="40">
        <f t="shared" si="28"/>
        <v>23.01681221239075</v>
      </c>
      <c r="S70" s="40">
        <f t="shared" si="28"/>
        <v>22.610576377334045</v>
      </c>
      <c r="T70" s="40">
        <f t="shared" si="28"/>
        <v>22.210801841221226</v>
      </c>
      <c r="U70" s="40">
        <f t="shared" si="28"/>
        <v>21.820655679798065</v>
      </c>
      <c r="V70" s="40">
        <f t="shared" si="28"/>
        <v>21.43975375793643</v>
      </c>
      <c r="W70" s="40">
        <f t="shared" si="28"/>
        <v>21.071879646446895</v>
      </c>
      <c r="X70" s="40">
        <f t="shared" si="28"/>
        <v>20.716737532774026</v>
      </c>
      <c r="Y70" s="40">
        <f t="shared" si="28"/>
        <v>20.373788641234079</v>
      </c>
      <c r="Z70" s="40">
        <f t="shared" si="28"/>
        <v>20.041721962827008</v>
      </c>
      <c r="AA70" s="40">
        <f t="shared" si="28"/>
        <v>19.719258754036922</v>
      </c>
      <c r="AB70" s="40">
        <f t="shared" si="28"/>
        <v>19.408600775143153</v>
      </c>
    </row>
    <row r="71" spans="1:28" x14ac:dyDescent="0.25">
      <c r="A71" s="4" t="s">
        <v>332</v>
      </c>
      <c r="B71" s="40">
        <f t="shared" ref="B71:AB71" si="29">B58+B59</f>
        <v>5053.6837003104765</v>
      </c>
      <c r="C71" s="40">
        <f t="shared" si="29"/>
        <v>5133.8738593711332</v>
      </c>
      <c r="D71" s="40">
        <f t="shared" si="29"/>
        <v>5192.7638250770833</v>
      </c>
      <c r="E71" s="40">
        <f t="shared" si="29"/>
        <v>5252.5113367309359</v>
      </c>
      <c r="F71" s="40">
        <f t="shared" si="29"/>
        <v>5314.0389544740046</v>
      </c>
      <c r="G71" s="40">
        <f t="shared" si="29"/>
        <v>5377.543023340344</v>
      </c>
      <c r="H71" s="40">
        <f t="shared" si="29"/>
        <v>5443.0398481257334</v>
      </c>
      <c r="I71" s="40">
        <f t="shared" si="29"/>
        <v>5504.7265160797215</v>
      </c>
      <c r="J71" s="40">
        <f t="shared" si="29"/>
        <v>5567.3104761471895</v>
      </c>
      <c r="K71" s="40">
        <f t="shared" si="29"/>
        <v>5630.0697697252708</v>
      </c>
      <c r="L71" s="40">
        <f t="shared" si="29"/>
        <v>5692.6993301786506</v>
      </c>
      <c r="M71" s="40">
        <f t="shared" si="29"/>
        <v>5754.9918446066222</v>
      </c>
      <c r="N71" s="40">
        <f t="shared" si="29"/>
        <v>5816.0690773383067</v>
      </c>
      <c r="O71" s="40">
        <f t="shared" si="29"/>
        <v>5875.287717898188</v>
      </c>
      <c r="P71" s="40">
        <f t="shared" si="29"/>
        <v>5932.1555799951875</v>
      </c>
      <c r="Q71" s="40">
        <f t="shared" si="29"/>
        <v>5985.8682530731185</v>
      </c>
      <c r="R71" s="40">
        <f t="shared" si="29"/>
        <v>6035.7724477672691</v>
      </c>
      <c r="S71" s="40">
        <f t="shared" si="29"/>
        <v>6074.5653695790625</v>
      </c>
      <c r="T71" s="40">
        <f t="shared" si="29"/>
        <v>6108.6591429632717</v>
      </c>
      <c r="U71" s="40">
        <f t="shared" si="29"/>
        <v>6138.0060867869661</v>
      </c>
      <c r="V71" s="40">
        <f t="shared" si="29"/>
        <v>6161.2261739968908</v>
      </c>
      <c r="W71" s="40">
        <f t="shared" si="29"/>
        <v>6177.973533201779</v>
      </c>
      <c r="X71" s="40">
        <f t="shared" si="29"/>
        <v>6188.2913583196205</v>
      </c>
      <c r="Y71" s="40">
        <f t="shared" si="29"/>
        <v>6194.9411091817237</v>
      </c>
      <c r="Z71" s="40">
        <f t="shared" si="29"/>
        <v>6195.501644537273</v>
      </c>
      <c r="AA71" s="40">
        <f t="shared" si="29"/>
        <v>6189.7586576625326</v>
      </c>
      <c r="AB71" s="40">
        <f t="shared" si="29"/>
        <v>6178.102679298594</v>
      </c>
    </row>
    <row r="72" spans="1:28" x14ac:dyDescent="0.25">
      <c r="A72" s="4" t="s">
        <v>333</v>
      </c>
      <c r="B72" s="40">
        <f t="shared" ref="B72:AB72" si="30">B60+B61+B62+B63</f>
        <v>5240.3680157513381</v>
      </c>
      <c r="C72" s="40">
        <f t="shared" si="30"/>
        <v>5323.1388419033265</v>
      </c>
      <c r="D72" s="40">
        <f t="shared" si="30"/>
        <v>5383.5854244665707</v>
      </c>
      <c r="E72" s="40">
        <f t="shared" si="30"/>
        <v>5444.7630131713331</v>
      </c>
      <c r="F72" s="40">
        <f t="shared" si="30"/>
        <v>5507.5283910256121</v>
      </c>
      <c r="G72" s="40">
        <f t="shared" si="30"/>
        <v>5572.097916873623</v>
      </c>
      <c r="H72" s="40">
        <f t="shared" si="30"/>
        <v>5638.5218875429237</v>
      </c>
      <c r="I72" s="40">
        <f t="shared" si="30"/>
        <v>5700.6747466813022</v>
      </c>
      <c r="J72" s="40">
        <f t="shared" si="30"/>
        <v>5763.5228268080673</v>
      </c>
      <c r="K72" s="40">
        <f t="shared" si="30"/>
        <v>5826.249136760327</v>
      </c>
      <c r="L72" s="40">
        <f t="shared" si="30"/>
        <v>5888.4299334117786</v>
      </c>
      <c r="M72" s="40">
        <f t="shared" si="30"/>
        <v>5949.8978615553324</v>
      </c>
      <c r="N72" s="40">
        <f t="shared" si="30"/>
        <v>6009.5683115435786</v>
      </c>
      <c r="O72" s="40">
        <f t="shared" si="30"/>
        <v>6066.8900896214327</v>
      </c>
      <c r="P72" s="40">
        <f t="shared" si="30"/>
        <v>6121.2018797197697</v>
      </c>
      <c r="Q72" s="40">
        <f t="shared" si="30"/>
        <v>6171.7151139381976</v>
      </c>
      <c r="R72" s="40">
        <f t="shared" si="30"/>
        <v>6217.6867283646652</v>
      </c>
      <c r="S72" s="40">
        <f t="shared" si="30"/>
        <v>6251.5426836571078</v>
      </c>
      <c r="T72" s="40">
        <f t="shared" si="30"/>
        <v>6279.9852815613103</v>
      </c>
      <c r="U72" s="40">
        <f t="shared" si="30"/>
        <v>6302.9969207457962</v>
      </c>
      <c r="V72" s="40">
        <f t="shared" si="30"/>
        <v>6318.9803346282124</v>
      </c>
      <c r="W72" s="40">
        <f t="shared" si="30"/>
        <v>6327.6541095625871</v>
      </c>
      <c r="X72" s="40">
        <f t="shared" si="30"/>
        <v>6329.116001042983</v>
      </c>
      <c r="Y72" s="40">
        <f t="shared" si="30"/>
        <v>6326.5464996115434</v>
      </c>
      <c r="Z72" s="40">
        <f t="shared" si="30"/>
        <v>6317.2094852497985</v>
      </c>
      <c r="AA72" s="40">
        <f t="shared" si="30"/>
        <v>6300.8224093206554</v>
      </c>
      <c r="AB72" s="40">
        <f t="shared" si="30"/>
        <v>6277.9685291040187</v>
      </c>
    </row>
    <row r="73" spans="1:28" x14ac:dyDescent="0.25">
      <c r="A73" s="4" t="s">
        <v>334</v>
      </c>
      <c r="B73" s="40">
        <f t="shared" ref="B73:AB73" si="31">B64+B65</f>
        <v>5342.6066539237072</v>
      </c>
      <c r="C73" s="40">
        <f t="shared" si="31"/>
        <v>5422.8666988158484</v>
      </c>
      <c r="D73" s="40">
        <f t="shared" si="31"/>
        <v>5480.4759950572625</v>
      </c>
      <c r="E73" s="40">
        <f t="shared" si="31"/>
        <v>5538.929452196965</v>
      </c>
      <c r="F73" s="40">
        <f t="shared" si="31"/>
        <v>5599.2600772304668</v>
      </c>
      <c r="G73" s="40">
        <f t="shared" si="31"/>
        <v>5661.654265189848</v>
      </c>
      <c r="H73" s="40">
        <f t="shared" si="31"/>
        <v>5726.0563690414792</v>
      </c>
      <c r="I73" s="40">
        <f t="shared" si="31"/>
        <v>5786.3384701984141</v>
      </c>
      <c r="J73" s="40">
        <f t="shared" si="31"/>
        <v>5847.5134535549641</v>
      </c>
      <c r="K73" s="40">
        <f t="shared" si="31"/>
        <v>5908.6940731545565</v>
      </c>
      <c r="L73" s="40">
        <f t="shared" si="31"/>
        <v>5969.4995122862729</v>
      </c>
      <c r="M73" s="40">
        <f t="shared" si="31"/>
        <v>6029.7745869295431</v>
      </c>
      <c r="N73" s="40">
        <f t="shared" si="31"/>
        <v>6088.4564167757508</v>
      </c>
      <c r="O73" s="40">
        <f t="shared" si="31"/>
        <v>6144.875365347476</v>
      </c>
      <c r="P73" s="40">
        <f t="shared" si="31"/>
        <v>6198.5131179763248</v>
      </c>
      <c r="Q73" s="40">
        <f t="shared" si="31"/>
        <v>6248.4412685637544</v>
      </c>
      <c r="R73" s="40">
        <f t="shared" si="31"/>
        <v>6294.0203592558692</v>
      </c>
      <c r="S73" s="40">
        <f t="shared" si="31"/>
        <v>6327.5971207160164</v>
      </c>
      <c r="T73" s="40">
        <f t="shared" si="31"/>
        <v>6355.8532539707921</v>
      </c>
      <c r="U73" s="40">
        <f t="shared" si="31"/>
        <v>6378.7483131820391</v>
      </c>
      <c r="V73" s="40">
        <f t="shared" si="31"/>
        <v>6394.8144865244958</v>
      </c>
      <c r="W73" s="40">
        <f t="shared" si="31"/>
        <v>6403.6995148843371</v>
      </c>
      <c r="X73" s="40">
        <f t="shared" si="31"/>
        <v>6405.4129831806722</v>
      </c>
      <c r="Y73" s="40">
        <f t="shared" si="31"/>
        <v>6403.0983307361375</v>
      </c>
      <c r="Z73" s="40">
        <f t="shared" si="31"/>
        <v>6394.0806666382014</v>
      </c>
      <c r="AA73" s="40">
        <f t="shared" si="31"/>
        <v>6378.2014787212202</v>
      </c>
      <c r="AB73" s="40">
        <f t="shared" si="31"/>
        <v>6355.8968902076676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16.930829943336455</v>
      </c>
      <c r="C2" s="37">
        <f>BDbDT_calcs!C48</f>
        <v>16.784738255439358</v>
      </c>
      <c r="D2" s="37">
        <f>BDbDT_calcs!D48</f>
        <v>16.571623750750678</v>
      </c>
      <c r="E2" s="37">
        <f>BDbDT_calcs!E48</f>
        <v>16.362426757981364</v>
      </c>
      <c r="F2" s="37">
        <f>BDbDT_calcs!F48</f>
        <v>16.153664428524298</v>
      </c>
      <c r="G2" s="37">
        <f>BDbDT_calcs!G48</f>
        <v>15.945356601299615</v>
      </c>
      <c r="H2" s="37">
        <f>BDbDT_calcs!H48</f>
        <v>15.737603641514383</v>
      </c>
      <c r="I2" s="37">
        <f>BDbDT_calcs!I48</f>
        <v>15.524091352439926</v>
      </c>
      <c r="J2" s="37">
        <f>BDbDT_calcs!J48</f>
        <v>15.303031761958687</v>
      </c>
      <c r="K2" s="37">
        <f>BDbDT_calcs!K48</f>
        <v>15.087809296040833</v>
      </c>
      <c r="L2" s="37">
        <f>BDbDT_calcs!L48</f>
        <v>14.866301619047615</v>
      </c>
      <c r="M2" s="37">
        <f>BDbDT_calcs!M48</f>
        <v>14.650569658133453</v>
      </c>
      <c r="N2" s="37">
        <f>BDbDT_calcs!N48</f>
        <v>14.442209787377443</v>
      </c>
      <c r="O2" s="37">
        <f>BDbDT_calcs!O48</f>
        <v>14.217334949817442</v>
      </c>
      <c r="P2" s="37">
        <f>BDbDT_calcs!P48</f>
        <v>14.001452770647631</v>
      </c>
      <c r="Q2" s="37">
        <f>BDbDT_calcs!Q48</f>
        <v>13.779217291836591</v>
      </c>
      <c r="R2" s="37">
        <f>BDbDT_calcs!R48</f>
        <v>13.55898531927158</v>
      </c>
      <c r="S2" s="37">
        <f>BDbDT_calcs!S48</f>
        <v>13.322242510130557</v>
      </c>
      <c r="T2" s="37">
        <f>BDbDT_calcs!T48</f>
        <v>13.089337655655637</v>
      </c>
      <c r="U2" s="37">
        <f>BDbDT_calcs!U48</f>
        <v>12.860050144288651</v>
      </c>
      <c r="V2" s="37">
        <f>BDbDT_calcs!V48</f>
        <v>12.634126480582204</v>
      </c>
      <c r="W2" s="37">
        <f>BDbDT_calcs!W48</f>
        <v>12.412944331017071</v>
      </c>
      <c r="X2" s="37">
        <f>BDbDT_calcs!X48</f>
        <v>12.207658290869576</v>
      </c>
      <c r="Y2" s="37">
        <f>BDbDT_calcs!Y48</f>
        <v>12.004920332065627</v>
      </c>
      <c r="Z2" s="37">
        <f>BDbDT_calcs!Z48</f>
        <v>11.812609459377363</v>
      </c>
      <c r="AA2" s="37">
        <f>BDbDT_calcs!AA48</f>
        <v>11.623967606122486</v>
      </c>
      <c r="AB2" s="37">
        <f>BDbDT_calcs!AB48</f>
        <v>11.437174597749149</v>
      </c>
    </row>
    <row r="3" spans="1:28" x14ac:dyDescent="0.25">
      <c r="A3" s="4" t="s">
        <v>216</v>
      </c>
      <c r="B3" s="37">
        <f>BDbDT_calcs!B49</f>
        <v>12.67630342244156</v>
      </c>
      <c r="C3" s="37">
        <f>BDbDT_calcs!C49</f>
        <v>12.593268557705514</v>
      </c>
      <c r="D3" s="37">
        <f>BDbDT_calcs!D49</f>
        <v>12.461126811720053</v>
      </c>
      <c r="E3" s="37">
        <f>BDbDT_calcs!E49</f>
        <v>12.329981961648835</v>
      </c>
      <c r="F3" s="37">
        <f>BDbDT_calcs!F49</f>
        <v>12.198253035564882</v>
      </c>
      <c r="G3" s="37">
        <f>BDbDT_calcs!G49</f>
        <v>12.069287683507802</v>
      </c>
      <c r="H3" s="37">
        <f>BDbDT_calcs!H49</f>
        <v>11.941491982683612</v>
      </c>
      <c r="I3" s="37">
        <f>BDbDT_calcs!I49</f>
        <v>11.796868178903077</v>
      </c>
      <c r="J3" s="37">
        <f>BDbDT_calcs!J49</f>
        <v>11.660459011103631</v>
      </c>
      <c r="K3" s="37">
        <f>BDbDT_calcs!K49</f>
        <v>11.517124831772316</v>
      </c>
      <c r="L3" s="37">
        <f>BDbDT_calcs!L49</f>
        <v>11.379898595770021</v>
      </c>
      <c r="M3" s="37">
        <f>BDbDT_calcs!M49</f>
        <v>11.235834837898345</v>
      </c>
      <c r="N3" s="37">
        <f>BDbDT_calcs!N49</f>
        <v>11.086614762740664</v>
      </c>
      <c r="O3" s="37">
        <f>BDbDT_calcs!O49</f>
        <v>10.948225734271743</v>
      </c>
      <c r="P3" s="37">
        <f>BDbDT_calcs!P49</f>
        <v>10.796694353278358</v>
      </c>
      <c r="Q3" s="37">
        <f>BDbDT_calcs!Q49</f>
        <v>10.651093525304981</v>
      </c>
      <c r="R3" s="37">
        <f>BDbDT_calcs!R49</f>
        <v>10.500260749017942</v>
      </c>
      <c r="S3" s="37">
        <f>BDbDT_calcs!S49</f>
        <v>10.340350243891846</v>
      </c>
      <c r="T3" s="37">
        <f>BDbDT_calcs!T49</f>
        <v>10.180074738269038</v>
      </c>
      <c r="U3" s="37">
        <f>BDbDT_calcs!U49</f>
        <v>10.022422290538152</v>
      </c>
      <c r="V3" s="37">
        <f>BDbDT_calcs!V49</f>
        <v>9.8702971363375553</v>
      </c>
      <c r="W3" s="37">
        <f>BDbDT_calcs!W49</f>
        <v>9.7219244733295014</v>
      </c>
      <c r="X3" s="37">
        <f>BDbDT_calcs!X49</f>
        <v>9.5740293121334386</v>
      </c>
      <c r="Y3" s="37">
        <f>BDbDT_calcs!Y49</f>
        <v>9.434131718869228</v>
      </c>
      <c r="Z3" s="37">
        <f>BDbDT_calcs!Z49</f>
        <v>9.2943871540899927</v>
      </c>
      <c r="AA3" s="37">
        <f>BDbDT_calcs!AA49</f>
        <v>9.1607122617031376</v>
      </c>
      <c r="AB3" s="37">
        <f>BDbDT_calcs!AB49</f>
        <v>9.0374293701049186</v>
      </c>
    </row>
    <row r="4" spans="1:28" x14ac:dyDescent="0.25">
      <c r="A4" s="4" t="s">
        <v>217</v>
      </c>
      <c r="B4" s="37">
        <f>BDbDT_calcs!B50</f>
        <v>21.059361356787878</v>
      </c>
      <c r="C4" s="37">
        <f>BDbDT_calcs!C50</f>
        <v>20.897645617755515</v>
      </c>
      <c r="D4" s="37">
        <f>BDbDT_calcs!D50</f>
        <v>20.656709943809584</v>
      </c>
      <c r="E4" s="37">
        <f>BDbDT_calcs!E50</f>
        <v>20.416187294655078</v>
      </c>
      <c r="F4" s="37">
        <f>BDbDT_calcs!F50</f>
        <v>20.178326122235582</v>
      </c>
      <c r="G4" s="37">
        <f>BDbDT_calcs!G50</f>
        <v>19.945222637891263</v>
      </c>
      <c r="H4" s="37">
        <f>BDbDT_calcs!H50</f>
        <v>19.708620273034001</v>
      </c>
      <c r="I4" s="37">
        <f>BDbDT_calcs!I50</f>
        <v>19.460091905949742</v>
      </c>
      <c r="J4" s="37">
        <f>BDbDT_calcs!J50</f>
        <v>19.206834316952541</v>
      </c>
      <c r="K4" s="37">
        <f>BDbDT_calcs!K50</f>
        <v>18.950283929514235</v>
      </c>
      <c r="L4" s="37">
        <f>BDbDT_calcs!L50</f>
        <v>18.688456311594329</v>
      </c>
      <c r="M4" s="37">
        <f>BDbDT_calcs!M50</f>
        <v>18.421416370158788</v>
      </c>
      <c r="N4" s="37">
        <f>BDbDT_calcs!N50</f>
        <v>18.149201455162647</v>
      </c>
      <c r="O4" s="37">
        <f>BDbDT_calcs!O50</f>
        <v>17.865794259297182</v>
      </c>
      <c r="P4" s="37">
        <f>BDbDT_calcs!P50</f>
        <v>17.579294614182238</v>
      </c>
      <c r="Q4" s="37">
        <f>BDbDT_calcs!Q50</f>
        <v>17.287629831314952</v>
      </c>
      <c r="R4" s="37">
        <f>BDbDT_calcs!R50</f>
        <v>16.990725429900095</v>
      </c>
      <c r="S4" s="37">
        <f>BDbDT_calcs!S50</f>
        <v>16.673639568996457</v>
      </c>
      <c r="T4" s="37">
        <f>BDbDT_calcs!T50</f>
        <v>16.361552501390555</v>
      </c>
      <c r="U4" s="37">
        <f>BDbDT_calcs!U50</f>
        <v>16.054178230376145</v>
      </c>
      <c r="V4" s="37">
        <f>BDbDT_calcs!V50</f>
        <v>15.753145869276919</v>
      </c>
      <c r="W4" s="37">
        <f>BDbDT_calcs!W50</f>
        <v>15.461988749641913</v>
      </c>
      <c r="X4" s="37">
        <f>BDbDT_calcs!X50</f>
        <v>15.18224922401175</v>
      </c>
      <c r="Y4" s="37">
        <f>BDbDT_calcs!Y50</f>
        <v>14.909741706101343</v>
      </c>
      <c r="Z4" s="37">
        <f>BDbDT_calcs!Z50</f>
        <v>14.646064113712843</v>
      </c>
      <c r="AA4" s="37">
        <f>BDbDT_calcs!AA50</f>
        <v>14.394713544862523</v>
      </c>
      <c r="AB4" s="37">
        <f>BDbDT_calcs!AB50</f>
        <v>14.151515619877463</v>
      </c>
    </row>
    <row r="5" spans="1:28" x14ac:dyDescent="0.25">
      <c r="A5" s="4" t="s">
        <v>218</v>
      </c>
      <c r="B5" s="37">
        <f>BDbDT_calcs!B51</f>
        <v>0.73394903228879915</v>
      </c>
      <c r="C5" s="37">
        <f>BDbDT_calcs!C51</f>
        <v>0.72327359919064338</v>
      </c>
      <c r="D5" s="37">
        <f>BDbDT_calcs!D51</f>
        <v>0.7099698401357436</v>
      </c>
      <c r="E5" s="37">
        <f>BDbDT_calcs!E51</f>
        <v>0.69656487176940063</v>
      </c>
      <c r="F5" s="37">
        <f>BDbDT_calcs!F51</f>
        <v>0.68306359379840587</v>
      </c>
      <c r="G5" s="37">
        <f>BDbDT_calcs!G51</f>
        <v>0.66977421387612746</v>
      </c>
      <c r="H5" s="37">
        <f>BDbDT_calcs!H51</f>
        <v>0.65623741961529047</v>
      </c>
      <c r="I5" s="37">
        <f>BDbDT_calcs!I51</f>
        <v>0.64244145779024064</v>
      </c>
      <c r="J5" s="37">
        <f>BDbDT_calcs!J51</f>
        <v>0.6288873134531896</v>
      </c>
      <c r="K5" s="37">
        <f>BDbDT_calcs!K51</f>
        <v>0.6155465285213626</v>
      </c>
      <c r="L5" s="37">
        <f>BDbDT_calcs!L51</f>
        <v>0.60271440291895362</v>
      </c>
      <c r="M5" s="37">
        <f>BDbDT_calcs!M51</f>
        <v>0.59053096898929192</v>
      </c>
      <c r="N5" s="37">
        <f>BDbDT_calcs!N51</f>
        <v>0.5785387927461354</v>
      </c>
      <c r="O5" s="37">
        <f>BDbDT_calcs!O51</f>
        <v>0.56717671211349441</v>
      </c>
      <c r="P5" s="37">
        <f>BDbDT_calcs!P51</f>
        <v>0.55599118256331559</v>
      </c>
      <c r="Q5" s="37">
        <f>BDbDT_calcs!Q51</f>
        <v>0.5452692102157245</v>
      </c>
      <c r="R5" s="37">
        <f>BDbDT_calcs!R51</f>
        <v>0.53485410967509373</v>
      </c>
      <c r="S5" s="37">
        <f>BDbDT_calcs!S51</f>
        <v>0.52400004333326378</v>
      </c>
      <c r="T5" s="37">
        <f>BDbDT_calcs!T51</f>
        <v>0.513456308716013</v>
      </c>
      <c r="U5" s="37">
        <f>BDbDT_calcs!U51</f>
        <v>0.5030673096554894</v>
      </c>
      <c r="V5" s="37">
        <f>BDbDT_calcs!V51</f>
        <v>0.49310967482918117</v>
      </c>
      <c r="W5" s="37">
        <f>BDbDT_calcs!W51</f>
        <v>0.48313996535959453</v>
      </c>
      <c r="X5" s="37">
        <f>BDbDT_calcs!X51</f>
        <v>0.47357682228347941</v>
      </c>
      <c r="Y5" s="37">
        <f>BDbDT_calcs!Y51</f>
        <v>0.46455112647591007</v>
      </c>
      <c r="Z5" s="37">
        <f>BDbDT_calcs!Z51</f>
        <v>0.45562512044775105</v>
      </c>
      <c r="AA5" s="37">
        <f>BDbDT_calcs!AA51</f>
        <v>0.44707175875962446</v>
      </c>
      <c r="AB5" s="37">
        <f>BDbDT_calcs!AB51</f>
        <v>0.43859968501140417</v>
      </c>
    </row>
    <row r="6" spans="1:28" x14ac:dyDescent="0.25">
      <c r="A6" s="4" t="s">
        <v>219</v>
      </c>
      <c r="B6" s="37">
        <f>BDbDT_calcs!B52</f>
        <v>0.29533501404325146</v>
      </c>
      <c r="C6" s="37">
        <f>BDbDT_calcs!C52</f>
        <v>0.29604024330166928</v>
      </c>
      <c r="D6" s="37">
        <f>BDbDT_calcs!D52</f>
        <v>0.29557483086353964</v>
      </c>
      <c r="E6" s="37">
        <f>BDbDT_calcs!E52</f>
        <v>0.29548553190153487</v>
      </c>
      <c r="F6" s="37">
        <f>BDbDT_calcs!F52</f>
        <v>0.29543255805451402</v>
      </c>
      <c r="G6" s="37">
        <f>BDbDT_calcs!G52</f>
        <v>0.29541724313979384</v>
      </c>
      <c r="H6" s="37">
        <f>BDbDT_calcs!H52</f>
        <v>0.29544253445611157</v>
      </c>
      <c r="I6" s="37">
        <f>BDbDT_calcs!I52</f>
        <v>0.29522343582948191</v>
      </c>
      <c r="J6" s="37">
        <f>BDbDT_calcs!J52</f>
        <v>0.29505249775446646</v>
      </c>
      <c r="K6" s="37">
        <f>BDbDT_calcs!K52</f>
        <v>0.29557908371879543</v>
      </c>
      <c r="L6" s="37">
        <f>BDbDT_calcs!L52</f>
        <v>0.29548302121776482</v>
      </c>
      <c r="M6" s="37">
        <f>BDbDT_calcs!M52</f>
        <v>0.29542746776211221</v>
      </c>
      <c r="N6" s="37">
        <f>BDbDT_calcs!N52</f>
        <v>0.29541302454784729</v>
      </c>
      <c r="O6" s="37">
        <f>BDbDT_calcs!O52</f>
        <v>0.29544032360468664</v>
      </c>
      <c r="P6" s="37">
        <f>BDbDT_calcs!P52</f>
        <v>0.29518738674065792</v>
      </c>
      <c r="Q6" s="37">
        <f>BDbDT_calcs!Q52</f>
        <v>0.29529969979997039</v>
      </c>
      <c r="R6" s="37">
        <f>BDbDT_calcs!R52</f>
        <v>0.29481352285344559</v>
      </c>
      <c r="S6" s="37">
        <f>BDbDT_calcs!S52</f>
        <v>0.29435855164979302</v>
      </c>
      <c r="T6" s="37">
        <f>BDbDT_calcs!T52</f>
        <v>0.29426024862789474</v>
      </c>
      <c r="U6" s="37">
        <f>BDbDT_calcs!U52</f>
        <v>0.29356576256731215</v>
      </c>
      <c r="V6" s="37">
        <f>BDbDT_calcs!V52</f>
        <v>0.29322177027496521</v>
      </c>
      <c r="W6" s="37">
        <f>BDbDT_calcs!W52</f>
        <v>0.29290748203296552</v>
      </c>
      <c r="X6" s="37">
        <f>BDbDT_calcs!X52</f>
        <v>0.29230745313084067</v>
      </c>
      <c r="Y6" s="37">
        <f>BDbDT_calcs!Y52</f>
        <v>0.29235290907890527</v>
      </c>
      <c r="Z6" s="37">
        <f>BDbDT_calcs!Z52</f>
        <v>0.2917972592707529</v>
      </c>
      <c r="AA6" s="37">
        <f>BDbDT_calcs!AA52</f>
        <v>0.29125904773450234</v>
      </c>
      <c r="AB6" s="37">
        <f>BDbDT_calcs!AB52</f>
        <v>0.29073431420356788</v>
      </c>
    </row>
    <row r="7" spans="1:28" x14ac:dyDescent="0.25">
      <c r="A7" s="4" t="s">
        <v>220</v>
      </c>
      <c r="B7" s="37">
        <f>BDbDT_calcs!B53</f>
        <v>3.0383173077248951</v>
      </c>
      <c r="C7" s="37">
        <f>BDbDT_calcs!C53</f>
        <v>3.0609890040154735</v>
      </c>
      <c r="D7" s="37">
        <f>BDbDT_calcs!D53</f>
        <v>3.0654946307035646</v>
      </c>
      <c r="E7" s="37">
        <f>BDbDT_calcs!E53</f>
        <v>3.0742493546914007</v>
      </c>
      <c r="F7" s="37">
        <f>BDbDT_calcs!F53</f>
        <v>3.0813186985833578</v>
      </c>
      <c r="G7" s="37">
        <f>BDbDT_calcs!G53</f>
        <v>3.0847875347818352</v>
      </c>
      <c r="H7" s="37">
        <f>BDbDT_calcs!H53</f>
        <v>3.096457107328344</v>
      </c>
      <c r="I7" s="37">
        <f>BDbDT_calcs!I53</f>
        <v>3.0976865254960324</v>
      </c>
      <c r="J7" s="37">
        <f>BDbDT_calcs!J53</f>
        <v>3.1013172659160131</v>
      </c>
      <c r="K7" s="37">
        <f>BDbDT_calcs!K53</f>
        <v>3.0995301251835956</v>
      </c>
      <c r="L7" s="37">
        <f>BDbDT_calcs!L53</f>
        <v>3.1000758738924601</v>
      </c>
      <c r="M7" s="37">
        <f>BDbDT_calcs!M53</f>
        <v>3.0953176695024038</v>
      </c>
      <c r="N7" s="37">
        <f>BDbDT_calcs!N53</f>
        <v>3.0948206010343999</v>
      </c>
      <c r="O7" s="37">
        <f>BDbDT_calcs!O53</f>
        <v>3.0909874448051204</v>
      </c>
      <c r="P7" s="37">
        <f>BDbDT_calcs!P53</f>
        <v>3.0838677086386457</v>
      </c>
      <c r="Q7" s="37">
        <f>BDbDT_calcs!Q53</f>
        <v>3.0735007821235598</v>
      </c>
      <c r="R7" s="37">
        <f>BDbDT_calcs!R53</f>
        <v>3.0636503677783939</v>
      </c>
      <c r="S7" s="37">
        <f>BDbDT_calcs!S53</f>
        <v>3.0490015575483889</v>
      </c>
      <c r="T7" s="37">
        <f>BDbDT_calcs!T53</f>
        <v>3.0274665250709156</v>
      </c>
      <c r="U7" s="37">
        <f>BDbDT_calcs!U53</f>
        <v>3.0101531442420435</v>
      </c>
      <c r="V7" s="37">
        <f>BDbDT_calcs!V53</f>
        <v>2.9896411210171925</v>
      </c>
      <c r="W7" s="37">
        <f>BDbDT_calcs!W53</f>
        <v>2.9695787303872483</v>
      </c>
      <c r="X7" s="37">
        <f>BDbDT_calcs!X53</f>
        <v>2.9535505400909803</v>
      </c>
      <c r="Y7" s="37">
        <f>BDbDT_calcs!Y53</f>
        <v>2.9324344342437452</v>
      </c>
      <c r="Z7" s="37">
        <f>BDbDT_calcs!Z53</f>
        <v>2.917063058887627</v>
      </c>
      <c r="AA7" s="37">
        <f>BDbDT_calcs!AA53</f>
        <v>2.8965601096742555</v>
      </c>
      <c r="AB7" s="37">
        <f>BDbDT_calcs!AB53</f>
        <v>2.8816729289365721</v>
      </c>
    </row>
    <row r="8" spans="1:28" x14ac:dyDescent="0.25">
      <c r="A8" s="4" t="s">
        <v>221</v>
      </c>
      <c r="B8" s="37">
        <f>BDbDT_calcs!B54</f>
        <v>3.7981694983266587</v>
      </c>
      <c r="C8" s="37">
        <f>BDbDT_calcs!C54</f>
        <v>3.8098238503371009</v>
      </c>
      <c r="D8" s="37">
        <f>BDbDT_calcs!D54</f>
        <v>3.8083627314590891</v>
      </c>
      <c r="E8" s="37">
        <f>BDbDT_calcs!E54</f>
        <v>3.8083097147866858</v>
      </c>
      <c r="F8" s="37">
        <f>BDbDT_calcs!F54</f>
        <v>3.8116343527334795</v>
      </c>
      <c r="G8" s="37">
        <f>BDbDT_calcs!G54</f>
        <v>3.8115319876116995</v>
      </c>
      <c r="H8" s="37">
        <f>BDbDT_calcs!H54</f>
        <v>3.8109881096224973</v>
      </c>
      <c r="I8" s="37">
        <f>BDbDT_calcs!I54</f>
        <v>3.8063406961978008</v>
      </c>
      <c r="J8" s="37">
        <f>BDbDT_calcs!J54</f>
        <v>3.800423688541652</v>
      </c>
      <c r="K8" s="37">
        <f>BDbDT_calcs!K54</f>
        <v>3.793139482976343</v>
      </c>
      <c r="L8" s="37">
        <f>BDbDT_calcs!L54</f>
        <v>3.7835813111102095</v>
      </c>
      <c r="M8" s="37">
        <f>BDbDT_calcs!M54</f>
        <v>3.7717964986212866</v>
      </c>
      <c r="N8" s="37">
        <f>BDbDT_calcs!N54</f>
        <v>3.7578259858061958</v>
      </c>
      <c r="O8" s="37">
        <f>BDbDT_calcs!O54</f>
        <v>3.7417080836483909</v>
      </c>
      <c r="P8" s="37">
        <f>BDbDT_calcs!P54</f>
        <v>3.7206866023337382</v>
      </c>
      <c r="Q8" s="37">
        <f>BDbDT_calcs!Q54</f>
        <v>3.6975912896430541</v>
      </c>
      <c r="R8" s="37">
        <f>BDbDT_calcs!R54</f>
        <v>3.669669094307511</v>
      </c>
      <c r="S8" s="37">
        <f>BDbDT_calcs!S54</f>
        <v>3.6383617885542208</v>
      </c>
      <c r="T8" s="37">
        <f>BDbDT_calcs!T54</f>
        <v>3.6041367213193425</v>
      </c>
      <c r="U8" s="37">
        <f>BDbDT_calcs!U54</f>
        <v>3.5669988494223097</v>
      </c>
      <c r="V8" s="37">
        <f>BDbDT_calcs!V54</f>
        <v>3.5305594828300451</v>
      </c>
      <c r="W8" s="37">
        <f>BDbDT_calcs!W54</f>
        <v>3.4902506685207686</v>
      </c>
      <c r="X8" s="37">
        <f>BDbDT_calcs!X54</f>
        <v>3.4550415426352248</v>
      </c>
      <c r="Y8" s="37">
        <f>BDbDT_calcs!Y54</f>
        <v>3.4194711191277607</v>
      </c>
      <c r="Z8" s="37">
        <f>BDbDT_calcs!Z54</f>
        <v>3.3843849868825067</v>
      </c>
      <c r="AA8" s="37">
        <f>BDbDT_calcs!AA54</f>
        <v>3.3506154410803455</v>
      </c>
      <c r="AB8" s="37">
        <f>BDbDT_calcs!AB54</f>
        <v>3.3189835780123516</v>
      </c>
    </row>
    <row r="9" spans="1:28" x14ac:dyDescent="0.25">
      <c r="A9" s="4" t="s">
        <v>222</v>
      </c>
      <c r="B9" s="37">
        <f>BDbDT_calcs!B55</f>
        <v>25.189774988142343</v>
      </c>
      <c r="C9" s="37">
        <f>BDbDT_calcs!C55</f>
        <v>24.915903083759247</v>
      </c>
      <c r="D9" s="37">
        <f>BDbDT_calcs!D55</f>
        <v>24.539797973715636</v>
      </c>
      <c r="E9" s="37">
        <f>BDbDT_calcs!E55</f>
        <v>24.16628178238928</v>
      </c>
      <c r="F9" s="37">
        <f>BDbDT_calcs!F55</f>
        <v>23.785983789488682</v>
      </c>
      <c r="G9" s="37">
        <f>BDbDT_calcs!G55</f>
        <v>23.416001847353339</v>
      </c>
      <c r="H9" s="37">
        <f>BDbDT_calcs!H55</f>
        <v>23.048808455860371</v>
      </c>
      <c r="I9" s="37">
        <f>BDbDT_calcs!I55</f>
        <v>22.664249154224702</v>
      </c>
      <c r="J9" s="37">
        <f>BDbDT_calcs!J55</f>
        <v>22.283449953384924</v>
      </c>
      <c r="K9" s="37">
        <f>BDbDT_calcs!K55</f>
        <v>21.903667623582976</v>
      </c>
      <c r="L9" s="37">
        <f>BDbDT_calcs!L55</f>
        <v>21.528551198527943</v>
      </c>
      <c r="M9" s="37">
        <f>BDbDT_calcs!M55</f>
        <v>21.156160232875521</v>
      </c>
      <c r="N9" s="37">
        <f>BDbDT_calcs!N55</f>
        <v>20.790042115552783</v>
      </c>
      <c r="O9" s="37">
        <f>BDbDT_calcs!O55</f>
        <v>20.422774571150224</v>
      </c>
      <c r="P9" s="37">
        <f>BDbDT_calcs!P55</f>
        <v>20.059702539895994</v>
      </c>
      <c r="Q9" s="37">
        <f>BDbDT_calcs!Q55</f>
        <v>19.700631220187557</v>
      </c>
      <c r="R9" s="37">
        <f>BDbDT_calcs!R55</f>
        <v>19.347143118083238</v>
      </c>
      <c r="S9" s="37">
        <f>BDbDT_calcs!S55</f>
        <v>18.972214588779824</v>
      </c>
      <c r="T9" s="37">
        <f>BDbDT_calcs!T55</f>
        <v>18.606665119901884</v>
      </c>
      <c r="U9" s="37">
        <f>BDbDT_calcs!U55</f>
        <v>18.253656830375757</v>
      </c>
      <c r="V9" s="37">
        <f>BDbDT_calcs!V55</f>
        <v>17.909194275106383</v>
      </c>
      <c r="W9" s="37">
        <f>BDbDT_calcs!W55</f>
        <v>17.581628977926126</v>
      </c>
      <c r="X9" s="37">
        <f>BDbDT_calcs!X55</f>
        <v>17.261695990138801</v>
      </c>
      <c r="Y9" s="37">
        <f>BDbDT_calcs!Y55</f>
        <v>16.954317522106319</v>
      </c>
      <c r="Z9" s="37">
        <f>BDbDT_calcs!Z55</f>
        <v>16.657336975944503</v>
      </c>
      <c r="AA9" s="37">
        <f>BDbDT_calcs!AA55</f>
        <v>16.368643312956575</v>
      </c>
      <c r="AB9" s="37">
        <f>BDbDT_calcs!AB55</f>
        <v>16.089617197130803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2684.7859840589563</v>
      </c>
      <c r="C2" s="37">
        <f>BDbDT_calcs!C58</f>
        <v>2730.7025972851675</v>
      </c>
      <c r="D2" s="37">
        <f>BDbDT_calcs!D58</f>
        <v>2765.1778297838973</v>
      </c>
      <c r="E2" s="37">
        <f>BDbDT_calcs!E58</f>
        <v>2799.4179865000597</v>
      </c>
      <c r="F2" s="37">
        <f>BDbDT_calcs!F58</f>
        <v>2833.666534814547</v>
      </c>
      <c r="G2" s="37">
        <f>BDbDT_calcs!G58</f>
        <v>2868.0084098652169</v>
      </c>
      <c r="H2" s="37">
        <f>BDbDT_calcs!H58</f>
        <v>2902.2489120491364</v>
      </c>
      <c r="I2" s="37">
        <f>BDbDT_calcs!I58</f>
        <v>2933.356750098988</v>
      </c>
      <c r="J2" s="37">
        <f>BDbDT_calcs!J58</f>
        <v>2963.7305714794079</v>
      </c>
      <c r="K2" s="37">
        <f>BDbDT_calcs!K58</f>
        <v>2993.3297659504588</v>
      </c>
      <c r="L2" s="37">
        <f>BDbDT_calcs!L58</f>
        <v>3021.9133618283104</v>
      </c>
      <c r="M2" s="37">
        <f>BDbDT_calcs!M58</f>
        <v>3049.4449359544437</v>
      </c>
      <c r="N2" s="37">
        <f>BDbDT_calcs!N58</f>
        <v>3075.6282004402005</v>
      </c>
      <c r="O2" s="37">
        <f>BDbDT_calcs!O58</f>
        <v>3100.3650846691125</v>
      </c>
      <c r="P2" s="37">
        <f>BDbDT_calcs!P58</f>
        <v>3123.2772294868032</v>
      </c>
      <c r="Q2" s="37">
        <f>BDbDT_calcs!Q58</f>
        <v>3144.3231115721446</v>
      </c>
      <c r="R2" s="37">
        <f>BDbDT_calcs!R58</f>
        <v>3163.0488159628731</v>
      </c>
      <c r="S2" s="37">
        <f>BDbDT_calcs!S58</f>
        <v>3175.92447511926</v>
      </c>
      <c r="T2" s="37">
        <f>BDbDT_calcs!T58</f>
        <v>3186.3474831207777</v>
      </c>
      <c r="U2" s="37">
        <f>BDbDT_calcs!U58</f>
        <v>3194.5135235286371</v>
      </c>
      <c r="V2" s="37">
        <f>BDbDT_calcs!V58</f>
        <v>3199.679387739679</v>
      </c>
      <c r="W2" s="37">
        <f>BDbDT_calcs!W58</f>
        <v>3202.0608922241377</v>
      </c>
      <c r="X2" s="37">
        <f>BDbDT_calcs!X58</f>
        <v>3201.5069594479464</v>
      </c>
      <c r="Y2" s="37">
        <f>BDbDT_calcs!Y58</f>
        <v>3199.3592361441147</v>
      </c>
      <c r="Z2" s="37">
        <f>BDbDT_calcs!Z58</f>
        <v>3194.4638619495045</v>
      </c>
      <c r="AA2" s="37">
        <f>BDbDT_calcs!AA58</f>
        <v>3187.038338954922</v>
      </c>
      <c r="AB2" s="37">
        <f>BDbDT_calcs!AB58</f>
        <v>3177.3894653886496</v>
      </c>
    </row>
    <row r="3" spans="1:28" x14ac:dyDescent="0.25">
      <c r="A3" s="4" t="s">
        <v>216</v>
      </c>
      <c r="B3" s="37">
        <f>BDbDT_calcs!B59</f>
        <v>2368.8977162515203</v>
      </c>
      <c r="C3" s="37">
        <f>BDbDT_calcs!C59</f>
        <v>2403.1712620859653</v>
      </c>
      <c r="D3" s="37">
        <f>BDbDT_calcs!D59</f>
        <v>2427.585995293186</v>
      </c>
      <c r="E3" s="37">
        <f>BDbDT_calcs!E59</f>
        <v>2453.0933502308762</v>
      </c>
      <c r="F3" s="37">
        <f>BDbDT_calcs!F59</f>
        <v>2480.3724196594576</v>
      </c>
      <c r="G3" s="37">
        <f>BDbDT_calcs!G59</f>
        <v>2509.5346134751276</v>
      </c>
      <c r="H3" s="37">
        <f>BDbDT_calcs!H59</f>
        <v>2540.7909360765971</v>
      </c>
      <c r="I3" s="37">
        <f>BDbDT_calcs!I59</f>
        <v>2571.3697659807335</v>
      </c>
      <c r="J3" s="37">
        <f>BDbDT_calcs!J59</f>
        <v>2603.5799046677812</v>
      </c>
      <c r="K3" s="37">
        <f>BDbDT_calcs!K59</f>
        <v>2636.7400037748116</v>
      </c>
      <c r="L3" s="37">
        <f>BDbDT_calcs!L59</f>
        <v>2670.7859683503402</v>
      </c>
      <c r="M3" s="37">
        <f>BDbDT_calcs!M59</f>
        <v>2705.546908652178</v>
      </c>
      <c r="N3" s="37">
        <f>BDbDT_calcs!N59</f>
        <v>2740.4408768981057</v>
      </c>
      <c r="O3" s="37">
        <f>BDbDT_calcs!O59</f>
        <v>2774.9226332290755</v>
      </c>
      <c r="P3" s="37">
        <f>BDbDT_calcs!P59</f>
        <v>2808.8783505083838</v>
      </c>
      <c r="Q3" s="37">
        <f>BDbDT_calcs!Q59</f>
        <v>2841.5451415009734</v>
      </c>
      <c r="R3" s="37">
        <f>BDbDT_calcs!R59</f>
        <v>2872.7236318043956</v>
      </c>
      <c r="S3" s="37">
        <f>BDbDT_calcs!S59</f>
        <v>2898.640894459802</v>
      </c>
      <c r="T3" s="37">
        <f>BDbDT_calcs!T59</f>
        <v>2922.3116598424936</v>
      </c>
      <c r="U3" s="37">
        <f>BDbDT_calcs!U59</f>
        <v>2943.492563258329</v>
      </c>
      <c r="V3" s="37">
        <f>BDbDT_calcs!V59</f>
        <v>2961.5467862572123</v>
      </c>
      <c r="W3" s="37">
        <f>BDbDT_calcs!W59</f>
        <v>2975.9126409776413</v>
      </c>
      <c r="X3" s="37">
        <f>BDbDT_calcs!X59</f>
        <v>2986.7843988716736</v>
      </c>
      <c r="Y3" s="37">
        <f>BDbDT_calcs!Y59</f>
        <v>2995.5818730376095</v>
      </c>
      <c r="Z3" s="37">
        <f>BDbDT_calcs!Z59</f>
        <v>3001.037782587769</v>
      </c>
      <c r="AA3" s="37">
        <f>BDbDT_calcs!AA59</f>
        <v>3002.7203187076102</v>
      </c>
      <c r="AB3" s="37">
        <f>BDbDT_calcs!AB59</f>
        <v>3000.7132139099444</v>
      </c>
    </row>
    <row r="4" spans="1:28" x14ac:dyDescent="0.25">
      <c r="A4" s="4" t="s">
        <v>217</v>
      </c>
      <c r="B4" s="37">
        <f>BDbDT_calcs!B60</f>
        <v>5007.8597330848334</v>
      </c>
      <c r="C4" s="37">
        <f>BDbDT_calcs!C60</f>
        <v>5086.0874703442678</v>
      </c>
      <c r="D4" s="37">
        <f>BDbDT_calcs!D60</f>
        <v>5142.8095006636204</v>
      </c>
      <c r="E4" s="37">
        <f>BDbDT_calcs!E60</f>
        <v>5199.9519849676062</v>
      </c>
      <c r="F4" s="37">
        <f>BDbDT_calcs!F60</f>
        <v>5258.5756650400908</v>
      </c>
      <c r="G4" s="37">
        <f>BDbDT_calcs!G60</f>
        <v>5318.6911516437813</v>
      </c>
      <c r="H4" s="37">
        <f>BDbDT_calcs!H60</f>
        <v>5380.4825077973037</v>
      </c>
      <c r="I4" s="37">
        <f>BDbDT_calcs!I60</f>
        <v>5438.1069293150895</v>
      </c>
      <c r="J4" s="37">
        <f>BDbDT_calcs!J60</f>
        <v>5496.3059131383116</v>
      </c>
      <c r="K4" s="37">
        <f>BDbDT_calcs!K60</f>
        <v>5554.1098625595423</v>
      </c>
      <c r="L4" s="37">
        <f>BDbDT_calcs!L60</f>
        <v>5611.23658068846</v>
      </c>
      <c r="M4" s="37">
        <f>BDbDT_calcs!M60</f>
        <v>5667.4836387830655</v>
      </c>
      <c r="N4" s="37">
        <f>BDbDT_calcs!N60</f>
        <v>5721.8439126289004</v>
      </c>
      <c r="O4" s="37">
        <f>BDbDT_calcs!O60</f>
        <v>5773.7793193221305</v>
      </c>
      <c r="P4" s="37">
        <f>BDbDT_calcs!P60</f>
        <v>5822.5818902829842</v>
      </c>
      <c r="Q4" s="37">
        <f>BDbDT_calcs!Q60</f>
        <v>5867.5111213875689</v>
      </c>
      <c r="R4" s="37">
        <f>BDbDT_calcs!R60</f>
        <v>5907.8656109438089</v>
      </c>
      <c r="S4" s="37">
        <f>BDbDT_calcs!S60</f>
        <v>5936.4915110121656</v>
      </c>
      <c r="T4" s="37">
        <f>BDbDT_calcs!T60</f>
        <v>5959.7102938622493</v>
      </c>
      <c r="U4" s="37">
        <f>BDbDT_calcs!U60</f>
        <v>5977.5665726727602</v>
      </c>
      <c r="V4" s="37">
        <f>BDbDT_calcs!V60</f>
        <v>5988.5240882289536</v>
      </c>
      <c r="W4" s="37">
        <f>BDbDT_calcs!W60</f>
        <v>5992.1981489330901</v>
      </c>
      <c r="X4" s="37">
        <f>BDbDT_calcs!X60</f>
        <v>5988.7817698841764</v>
      </c>
      <c r="Y4" s="37">
        <f>BDbDT_calcs!Y60</f>
        <v>5981.3840601447791</v>
      </c>
      <c r="Z4" s="37">
        <f>BDbDT_calcs!Z60</f>
        <v>5967.3653626565811</v>
      </c>
      <c r="AA4" s="37">
        <f>BDbDT_calcs!AA60</f>
        <v>5946.413067437963</v>
      </c>
      <c r="AB4" s="37">
        <f>BDbDT_calcs!AB60</f>
        <v>5919.0903491513218</v>
      </c>
    </row>
    <row r="5" spans="1:28" x14ac:dyDescent="0.25">
      <c r="A5" s="4" t="s">
        <v>218</v>
      </c>
      <c r="B5" s="37">
        <f>BDbDT_calcs!B61</f>
        <v>56.742826595488729</v>
      </c>
      <c r="C5" s="37">
        <f>BDbDT_calcs!C61</f>
        <v>57.535905468010618</v>
      </c>
      <c r="D5" s="37">
        <f>BDbDT_calcs!D61</f>
        <v>58.095586101544733</v>
      </c>
      <c r="E5" s="37">
        <f>BDbDT_calcs!E61</f>
        <v>58.658396640874166</v>
      </c>
      <c r="F5" s="37">
        <f>BDbDT_calcs!F61</f>
        <v>59.243527831464903</v>
      </c>
      <c r="G5" s="37">
        <f>BDbDT_calcs!G61</f>
        <v>59.852481052762016</v>
      </c>
      <c r="H5" s="37">
        <f>BDbDT_calcs!H61</f>
        <v>60.483725642685961</v>
      </c>
      <c r="I5" s="37">
        <f>BDbDT_calcs!I61</f>
        <v>61.08019771806326</v>
      </c>
      <c r="J5" s="37">
        <f>BDbDT_calcs!J61</f>
        <v>61.696541546621937</v>
      </c>
      <c r="K5" s="37">
        <f>BDbDT_calcs!K61</f>
        <v>62.328758378699852</v>
      </c>
      <c r="L5" s="37">
        <f>BDbDT_calcs!L61</f>
        <v>62.976904943723689</v>
      </c>
      <c r="M5" s="37">
        <f>BDbDT_calcs!M61</f>
        <v>63.637737455899156</v>
      </c>
      <c r="N5" s="37">
        <f>BDbDT_calcs!N61</f>
        <v>64.314278676345239</v>
      </c>
      <c r="O5" s="37">
        <f>BDbDT_calcs!O61</f>
        <v>64.990281021748032</v>
      </c>
      <c r="P5" s="37">
        <f>BDbDT_calcs!P61</f>
        <v>65.672994550368486</v>
      </c>
      <c r="Q5" s="37">
        <f>BDbDT_calcs!Q61</f>
        <v>66.349162042741327</v>
      </c>
      <c r="R5" s="37">
        <f>BDbDT_calcs!R61</f>
        <v>67.017351571684571</v>
      </c>
      <c r="S5" s="37">
        <f>BDbDT_calcs!S61</f>
        <v>67.601682257127152</v>
      </c>
      <c r="T5" s="37">
        <f>BDbDT_calcs!T61</f>
        <v>68.163787949671544</v>
      </c>
      <c r="U5" s="37">
        <f>BDbDT_calcs!U61</f>
        <v>68.704888999259722</v>
      </c>
      <c r="V5" s="37">
        <f>BDbDT_calcs!V61</f>
        <v>69.217147384743996</v>
      </c>
      <c r="W5" s="37">
        <f>BDbDT_calcs!W61</f>
        <v>69.687971339671904</v>
      </c>
      <c r="X5" s="37">
        <f>BDbDT_calcs!X61</f>
        <v>70.113005823180174</v>
      </c>
      <c r="Y5" s="37">
        <f>BDbDT_calcs!Y61</f>
        <v>70.510239293154939</v>
      </c>
      <c r="Z5" s="37">
        <f>BDbDT_calcs!Z61</f>
        <v>70.860440113430016</v>
      </c>
      <c r="AA5" s="37">
        <f>BDbDT_calcs!AA61</f>
        <v>71.163329484398957</v>
      </c>
      <c r="AB5" s="37">
        <f>BDbDT_calcs!AB61</f>
        <v>71.411875870770544</v>
      </c>
    </row>
    <row r="6" spans="1:28" x14ac:dyDescent="0.25">
      <c r="A6" s="4" t="s">
        <v>219</v>
      </c>
      <c r="B6" s="37">
        <f>BDbDT_calcs!B62</f>
        <v>41.797279287122329</v>
      </c>
      <c r="C6" s="37">
        <f>BDbDT_calcs!C62</f>
        <v>42.734642621609723</v>
      </c>
      <c r="D6" s="37">
        <f>BDbDT_calcs!D62</f>
        <v>43.527570074965418</v>
      </c>
      <c r="E6" s="37">
        <f>BDbDT_calcs!E62</f>
        <v>44.380841296085755</v>
      </c>
      <c r="F6" s="37">
        <f>BDbDT_calcs!F62</f>
        <v>45.306861828821866</v>
      </c>
      <c r="G6" s="37">
        <f>BDbDT_calcs!G62</f>
        <v>46.304216258052605</v>
      </c>
      <c r="H6" s="37">
        <f>BDbDT_calcs!H62</f>
        <v>47.375532028589134</v>
      </c>
      <c r="I6" s="37">
        <f>BDbDT_calcs!I62</f>
        <v>48.473558027925499</v>
      </c>
      <c r="J6" s="37">
        <f>BDbDT_calcs!J62</f>
        <v>49.617829465250544</v>
      </c>
      <c r="K6" s="37">
        <f>BDbDT_calcs!K62</f>
        <v>50.798082929679005</v>
      </c>
      <c r="L6" s="37">
        <f>BDbDT_calcs!L62</f>
        <v>52.026984389622491</v>
      </c>
      <c r="M6" s="37">
        <f>BDbDT_calcs!M62</f>
        <v>53.294135866712345</v>
      </c>
      <c r="N6" s="37">
        <f>BDbDT_calcs!N62</f>
        <v>54.592586925902722</v>
      </c>
      <c r="O6" s="37">
        <f>BDbDT_calcs!O62</f>
        <v>55.912647529773267</v>
      </c>
      <c r="P6" s="37">
        <f>BDbDT_calcs!P62</f>
        <v>57.249273408149143</v>
      </c>
      <c r="Q6" s="37">
        <f>BDbDT_calcs!Q62</f>
        <v>58.591633153463476</v>
      </c>
      <c r="R6" s="37">
        <f>BDbDT_calcs!R62</f>
        <v>59.934438080398031</v>
      </c>
      <c r="S6" s="37">
        <f>BDbDT_calcs!S62</f>
        <v>61.198574902567572</v>
      </c>
      <c r="T6" s="37">
        <f>BDbDT_calcs!T62</f>
        <v>62.450957093619998</v>
      </c>
      <c r="U6" s="37">
        <f>BDbDT_calcs!U62</f>
        <v>63.678229309794212</v>
      </c>
      <c r="V6" s="37">
        <f>BDbDT_calcs!V62</f>
        <v>64.882694308883657</v>
      </c>
      <c r="W6" s="37">
        <f>BDbDT_calcs!W62</f>
        <v>66.060171540164788</v>
      </c>
      <c r="X6" s="37">
        <f>BDbDT_calcs!X62</f>
        <v>67.216394579151896</v>
      </c>
      <c r="Y6" s="37">
        <f>BDbDT_calcs!Y62</f>
        <v>68.347025744229285</v>
      </c>
      <c r="Z6" s="37">
        <f>BDbDT_calcs!Z62</f>
        <v>69.454232089978532</v>
      </c>
      <c r="AA6" s="37">
        <f>BDbDT_calcs!AA62</f>
        <v>70.53728226258653</v>
      </c>
      <c r="AB6" s="37">
        <f>BDbDT_calcs!AB62</f>
        <v>71.591103772757165</v>
      </c>
    </row>
    <row r="7" spans="1:28" x14ac:dyDescent="0.25">
      <c r="A7" s="4" t="s">
        <v>220</v>
      </c>
      <c r="B7" s="37">
        <f>BDbDT_calcs!B63</f>
        <v>133.96817678389354</v>
      </c>
      <c r="C7" s="37">
        <f>BDbDT_calcs!C63</f>
        <v>136.78082346943864</v>
      </c>
      <c r="D7" s="37">
        <f>BDbDT_calcs!D63</f>
        <v>139.15276762644066</v>
      </c>
      <c r="E7" s="37">
        <f>BDbDT_calcs!E63</f>
        <v>141.77179026676671</v>
      </c>
      <c r="F7" s="37">
        <f>BDbDT_calcs!F63</f>
        <v>144.40233632523478</v>
      </c>
      <c r="G7" s="37">
        <f>BDbDT_calcs!G63</f>
        <v>147.25006791902661</v>
      </c>
      <c r="H7" s="37">
        <f>BDbDT_calcs!H63</f>
        <v>150.18012207434478</v>
      </c>
      <c r="I7" s="37">
        <f>BDbDT_calcs!I63</f>
        <v>153.01406162022312</v>
      </c>
      <c r="J7" s="37">
        <f>BDbDT_calcs!J63</f>
        <v>155.90254265788266</v>
      </c>
      <c r="K7" s="37">
        <f>BDbDT_calcs!K63</f>
        <v>159.0124328924058</v>
      </c>
      <c r="L7" s="37">
        <f>BDbDT_calcs!L63</f>
        <v>162.1894633899725</v>
      </c>
      <c r="M7" s="37">
        <f>BDbDT_calcs!M63</f>
        <v>165.48234944965589</v>
      </c>
      <c r="N7" s="37">
        <f>BDbDT_calcs!N63</f>
        <v>168.81753331242979</v>
      </c>
      <c r="O7" s="37">
        <f>BDbDT_calcs!O63</f>
        <v>172.20784174778046</v>
      </c>
      <c r="P7" s="37">
        <f>BDbDT_calcs!P63</f>
        <v>175.69772147826859</v>
      </c>
      <c r="Q7" s="37">
        <f>BDbDT_calcs!Q63</f>
        <v>179.26319735442425</v>
      </c>
      <c r="R7" s="37">
        <f>BDbDT_calcs!R63</f>
        <v>182.86932776877478</v>
      </c>
      <c r="S7" s="37">
        <f>BDbDT_calcs!S63</f>
        <v>186.25091548524728</v>
      </c>
      <c r="T7" s="37">
        <f>BDbDT_calcs!T63</f>
        <v>189.66024265577047</v>
      </c>
      <c r="U7" s="37">
        <f>BDbDT_calcs!U63</f>
        <v>193.04722976398239</v>
      </c>
      <c r="V7" s="37">
        <f>BDbDT_calcs!V63</f>
        <v>196.35640470563163</v>
      </c>
      <c r="W7" s="37">
        <f>BDbDT_calcs!W63</f>
        <v>199.70781774966082</v>
      </c>
      <c r="X7" s="37">
        <f>BDbDT_calcs!X63</f>
        <v>203.00483075647469</v>
      </c>
      <c r="Y7" s="37">
        <f>BDbDT_calcs!Y63</f>
        <v>206.30517442938012</v>
      </c>
      <c r="Z7" s="37">
        <f>BDbDT_calcs!Z63</f>
        <v>209.52945038980914</v>
      </c>
      <c r="AA7" s="37">
        <f>BDbDT_calcs!AA63</f>
        <v>212.70873013570721</v>
      </c>
      <c r="AB7" s="37">
        <f>BDbDT_calcs!AB63</f>
        <v>215.87520030916903</v>
      </c>
    </row>
    <row r="8" spans="1:28" x14ac:dyDescent="0.25">
      <c r="A8" s="4" t="s">
        <v>221</v>
      </c>
      <c r="B8" s="37">
        <f>BDbDT_calcs!B64</f>
        <v>247.30127827037597</v>
      </c>
      <c r="C8" s="37">
        <f>BDbDT_calcs!C64</f>
        <v>255.74220463233817</v>
      </c>
      <c r="D8" s="37">
        <f>BDbDT_calcs!D64</f>
        <v>263.29005178572788</v>
      </c>
      <c r="E8" s="37">
        <f>BDbDT_calcs!E64</f>
        <v>270.99634620161834</v>
      </c>
      <c r="F8" s="37">
        <f>BDbDT_calcs!F64</f>
        <v>278.86349091516581</v>
      </c>
      <c r="G8" s="37">
        <f>BDbDT_calcs!G64</f>
        <v>286.92484212996419</v>
      </c>
      <c r="H8" s="37">
        <f>BDbDT_calcs!H64</f>
        <v>295.27296661750154</v>
      </c>
      <c r="I8" s="37">
        <f>BDbDT_calcs!I64</f>
        <v>303.61300070997675</v>
      </c>
      <c r="J8" s="37">
        <f>BDbDT_calcs!J64</f>
        <v>312.14452046837357</v>
      </c>
      <c r="K8" s="37">
        <f>BDbDT_calcs!K64</f>
        <v>320.93778814039359</v>
      </c>
      <c r="L8" s="37">
        <f>BDbDT_calcs!L64</f>
        <v>330.04514456420583</v>
      </c>
      <c r="M8" s="37">
        <f>BDbDT_calcs!M64</f>
        <v>339.38357631568988</v>
      </c>
      <c r="N8" s="37">
        <f>BDbDT_calcs!N64</f>
        <v>349.03935680429504</v>
      </c>
      <c r="O8" s="37">
        <f>BDbDT_calcs!O64</f>
        <v>358.95210338437539</v>
      </c>
      <c r="P8" s="37">
        <f>BDbDT_calcs!P64</f>
        <v>369.10418808654555</v>
      </c>
      <c r="Q8" s="37">
        <f>BDbDT_calcs!Q64</f>
        <v>379.51018427217787</v>
      </c>
      <c r="R8" s="37">
        <f>BDbDT_calcs!R64</f>
        <v>390.09200075677279</v>
      </c>
      <c r="S8" s="37">
        <f>BDbDT_calcs!S64</f>
        <v>400.39593528443442</v>
      </c>
      <c r="T8" s="37">
        <f>BDbDT_calcs!T64</f>
        <v>410.83871343537902</v>
      </c>
      <c r="U8" s="37">
        <f>BDbDT_calcs!U64</f>
        <v>421.39128150644814</v>
      </c>
      <c r="V8" s="37">
        <f>BDbDT_calcs!V64</f>
        <v>431.99621738602553</v>
      </c>
      <c r="W8" s="37">
        <f>BDbDT_calcs!W64</f>
        <v>442.59316307253721</v>
      </c>
      <c r="X8" s="37">
        <f>BDbDT_calcs!X64</f>
        <v>453.2350418030519</v>
      </c>
      <c r="Y8" s="37">
        <f>BDbDT_calcs!Y64</f>
        <v>463.82989678700767</v>
      </c>
      <c r="Z8" s="37">
        <f>BDbDT_calcs!Z64</f>
        <v>474.37113777475253</v>
      </c>
      <c r="AA8" s="37">
        <f>BDbDT_calcs!AA64</f>
        <v>484.75221738195711</v>
      </c>
      <c r="AB8" s="37">
        <f>BDbDT_calcs!AB64</f>
        <v>494.96042725094202</v>
      </c>
    </row>
    <row r="9" spans="1:28" x14ac:dyDescent="0.25">
      <c r="A9" s="4" t="s">
        <v>222</v>
      </c>
      <c r="B9" s="37">
        <f>BDbDT_calcs!B65</f>
        <v>5095.3053756533309</v>
      </c>
      <c r="C9" s="37">
        <f>BDbDT_calcs!C65</f>
        <v>5167.1244941835103</v>
      </c>
      <c r="D9" s="37">
        <f>BDbDT_calcs!D65</f>
        <v>5217.1859432715346</v>
      </c>
      <c r="E9" s="37">
        <f>BDbDT_calcs!E65</f>
        <v>5267.9331059953465</v>
      </c>
      <c r="F9" s="37">
        <f>BDbDT_calcs!F65</f>
        <v>5320.3965863153007</v>
      </c>
      <c r="G9" s="37">
        <f>BDbDT_calcs!G65</f>
        <v>5374.7294230598836</v>
      </c>
      <c r="H9" s="37">
        <f>BDbDT_calcs!H65</f>
        <v>5430.7834024239773</v>
      </c>
      <c r="I9" s="37">
        <f>BDbDT_calcs!I65</f>
        <v>5482.7254694884377</v>
      </c>
      <c r="J9" s="37">
        <f>BDbDT_calcs!J65</f>
        <v>5535.3689330865909</v>
      </c>
      <c r="K9" s="37">
        <f>BDbDT_calcs!K65</f>
        <v>5587.756285014163</v>
      </c>
      <c r="L9" s="37">
        <f>BDbDT_calcs!L65</f>
        <v>5639.4543677220672</v>
      </c>
      <c r="M9" s="37">
        <f>BDbDT_calcs!M65</f>
        <v>5690.3910106138528</v>
      </c>
      <c r="N9" s="37">
        <f>BDbDT_calcs!N65</f>
        <v>5739.4170599714553</v>
      </c>
      <c r="O9" s="37">
        <f>BDbDT_calcs!O65</f>
        <v>5785.9232619631002</v>
      </c>
      <c r="P9" s="37">
        <f>BDbDT_calcs!P65</f>
        <v>5829.4089298897788</v>
      </c>
      <c r="Q9" s="37">
        <f>BDbDT_calcs!Q65</f>
        <v>5868.9310842915766</v>
      </c>
      <c r="R9" s="37">
        <f>BDbDT_calcs!R65</f>
        <v>5903.9283584990962</v>
      </c>
      <c r="S9" s="37">
        <f>BDbDT_calcs!S65</f>
        <v>5927.2011854315824</v>
      </c>
      <c r="T9" s="37">
        <f>BDbDT_calcs!T65</f>
        <v>5945.0145405354133</v>
      </c>
      <c r="U9" s="37">
        <f>BDbDT_calcs!U65</f>
        <v>5957.3570316755913</v>
      </c>
      <c r="V9" s="37">
        <f>BDbDT_calcs!V65</f>
        <v>5962.81826913847</v>
      </c>
      <c r="W9" s="37">
        <f>BDbDT_calcs!W65</f>
        <v>5961.1063518117999</v>
      </c>
      <c r="X9" s="37">
        <f>BDbDT_calcs!X65</f>
        <v>5952.1779413776203</v>
      </c>
      <c r="Y9" s="37">
        <f>BDbDT_calcs!Y65</f>
        <v>5939.2684339491298</v>
      </c>
      <c r="Z9" s="37">
        <f>BDbDT_calcs!Z65</f>
        <v>5919.7095288634491</v>
      </c>
      <c r="AA9" s="37">
        <f>BDbDT_calcs!AA65</f>
        <v>5893.4492613392631</v>
      </c>
      <c r="AB9" s="37">
        <f>BDbDT_calcs!AB65</f>
        <v>5860.9364629567253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2026-08-17T20:29:52Z</dcterms:modified>
</cp:coreProperties>
</file>
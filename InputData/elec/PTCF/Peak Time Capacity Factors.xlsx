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Olivia Ashmoore\Documents\EPS_Models by Region\RMI\RMI_all_states\WY\elec\PTCF\"/>
    </mc:Choice>
  </mc:AlternateContent>
  <xr:revisionPtr revIDLastSave="0" documentId="13_ncr:1_{3CFA42EE-5CE1-4761-8873-FA94A3650945}" xr6:coauthVersionLast="47" xr6:coauthVersionMax="47" xr10:uidLastSave="{00000000-0000-0000-0000-000000000000}"/>
  <bookViews>
    <workbookView xWindow="2340" yWindow="2340" windowWidth="21600" windowHeight="12645" firstSheet="11" activeTab="11" xr2:uid="{00000000-000D-0000-FFFF-FFFF00000000}"/>
  </bookViews>
  <sheets>
    <sheet name="About" sheetId="1" r:id="rId1"/>
    <sheet name="CAISO - CF" sheetId="2" r:id="rId2"/>
    <sheet name="ERCOT - CF" sheetId="3" r:id="rId3"/>
    <sheet name="WECC" sheetId="4" r:id="rId4"/>
    <sheet name="TRE" sheetId="5" r:id="rId5"/>
    <sheet name="MISO" sheetId="6" r:id="rId6"/>
    <sheet name="SPP" sheetId="7" r:id="rId7"/>
    <sheet name="PJM" sheetId="8" r:id="rId8"/>
    <sheet name="NPCC" sheetId="9" r:id="rId9"/>
    <sheet name="EIA Form 411" sheetId="10" r:id="rId10"/>
    <sheet name="Calculations" sheetId="11" r:id="rId11"/>
    <sheet name="PTCF" sheetId="12" r:id="rId12"/>
  </sheets>
  <externalReferences>
    <externalReference r:id="rId13"/>
    <externalReference r:id="rId14"/>
    <externalReference r:id="rId15"/>
  </externalReferences>
  <definedNames>
    <definedName name="Bucket">#REF!</definedName>
    <definedName name="DeliverabilityOptions">[1]Lists!#REF!</definedName>
    <definedName name="EndMonth">#REF!</definedName>
    <definedName name="LocalAreaOptions">[2]Lists!$B$11:$B$21</definedName>
    <definedName name="Month">#REF!</definedName>
    <definedName name="RA_Capacity">#REF!</definedName>
    <definedName name="SchedulingID">#REF!</definedName>
    <definedName name="StartMonth">#REF!</definedName>
    <definedName name="Submittal">[3]Lists!$A$2:$A$3</definedName>
    <definedName name="Zon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 i="12" l="1"/>
  <c r="B18" i="12"/>
  <c r="C24" i="12" s="1"/>
  <c r="C17" i="12"/>
  <c r="B17" i="12"/>
  <c r="C16" i="12"/>
  <c r="B16" i="12"/>
  <c r="C14" i="12"/>
  <c r="B14" i="12"/>
  <c r="C13" i="12"/>
  <c r="B13" i="12"/>
  <c r="C12" i="12"/>
  <c r="B12" i="12"/>
  <c r="C11" i="12"/>
  <c r="B11" i="12"/>
  <c r="C5" i="12"/>
  <c r="B5" i="12"/>
  <c r="C4" i="12"/>
  <c r="B4" i="12"/>
  <c r="C3" i="12"/>
  <c r="B3" i="12"/>
  <c r="C2" i="12"/>
  <c r="B2" i="12"/>
  <c r="B61" i="11"/>
  <c r="E27" i="11" s="1"/>
  <c r="B59" i="11"/>
  <c r="B58" i="11"/>
  <c r="E48" i="11" s="1"/>
  <c r="B57" i="11"/>
  <c r="E15" i="11" s="1"/>
  <c r="E53" i="11"/>
  <c r="E52" i="11"/>
  <c r="E51" i="11"/>
  <c r="E50" i="11"/>
  <c r="E49" i="11"/>
  <c r="E46" i="11"/>
  <c r="D46" i="11"/>
  <c r="C46" i="11"/>
  <c r="E45" i="11"/>
  <c r="E44" i="11"/>
  <c r="E43" i="11"/>
  <c r="E40" i="11"/>
  <c r="D40" i="11"/>
  <c r="C40" i="11"/>
  <c r="E39" i="11"/>
  <c r="E38" i="11"/>
  <c r="E37" i="11"/>
  <c r="E34" i="11"/>
  <c r="D34" i="11"/>
  <c r="C34" i="11"/>
  <c r="E33" i="11"/>
  <c r="E32" i="11"/>
  <c r="E31" i="11"/>
  <c r="E28" i="11"/>
  <c r="D28" i="11"/>
  <c r="C28" i="11"/>
  <c r="E26" i="11"/>
  <c r="E25" i="11"/>
  <c r="E24" i="11"/>
  <c r="E23" i="11"/>
  <c r="E22" i="11"/>
  <c r="D22" i="11"/>
  <c r="C22" i="11"/>
  <c r="E21" i="11"/>
  <c r="D21" i="11"/>
  <c r="C21" i="11"/>
  <c r="E19" i="11"/>
  <c r="E18" i="11"/>
  <c r="E17" i="11"/>
  <c r="E14" i="11"/>
  <c r="D14" i="11"/>
  <c r="C14" i="11"/>
  <c r="AN6" i="10"/>
  <c r="AN19" i="10" s="1"/>
  <c r="AM6" i="10"/>
  <c r="AM19" i="10" s="1"/>
  <c r="AL6" i="10"/>
  <c r="AL19" i="10" s="1"/>
  <c r="AK6" i="10"/>
  <c r="AK19" i="10" s="1"/>
  <c r="AJ6" i="10"/>
  <c r="AJ19" i="10" s="1"/>
  <c r="AI6" i="10"/>
  <c r="AI19" i="10" s="1"/>
  <c r="AH6" i="10"/>
  <c r="AH19" i="10" s="1"/>
  <c r="AG6" i="10"/>
  <c r="AG19" i="10" s="1"/>
  <c r="AF6" i="10"/>
  <c r="AF19" i="10" s="1"/>
  <c r="AE6" i="10"/>
  <c r="AE19" i="10" s="1"/>
  <c r="AD6" i="10"/>
  <c r="AD19" i="10" s="1"/>
  <c r="AC6" i="10"/>
  <c r="AC19" i="10" s="1"/>
  <c r="AB6" i="10"/>
  <c r="AB19" i="10" s="1"/>
  <c r="AA6" i="10"/>
  <c r="AA19" i="10" s="1"/>
  <c r="Z6" i="10"/>
  <c r="Z19" i="10" s="1"/>
  <c r="Y6" i="10"/>
  <c r="Y19" i="10" s="1"/>
  <c r="L45" i="3"/>
  <c r="K45" i="3"/>
  <c r="J45" i="3"/>
  <c r="F36" i="3"/>
  <c r="C15" i="11" s="1"/>
  <c r="F23" i="3"/>
  <c r="D15" i="11" s="1"/>
  <c r="L4" i="3"/>
  <c r="K4" i="3"/>
  <c r="J4" i="3"/>
  <c r="D5" i="11"/>
  <c r="D8" i="11"/>
  <c r="D4" i="11"/>
  <c r="C7" i="11"/>
  <c r="C3" i="11"/>
  <c r="C5" i="11"/>
  <c r="C6" i="11"/>
  <c r="C8" i="11"/>
  <c r="C4" i="11"/>
  <c r="D7" i="11"/>
  <c r="D3" i="11"/>
  <c r="D6" i="11"/>
  <c r="B6" i="12" l="1" a="1"/>
  <c r="B6" i="12" s="1"/>
  <c r="E16" i="11"/>
  <c r="B10" i="12" s="1" a="1"/>
  <c r="B10" i="12" s="1"/>
  <c r="B21" i="12"/>
  <c r="C21" i="12"/>
  <c r="B22" i="12"/>
  <c r="C22" i="12"/>
  <c r="B15" i="12" a="1"/>
  <c r="B15" i="12" s="1"/>
  <c r="E20" i="11"/>
  <c r="E30" i="11"/>
  <c r="E36" i="11"/>
  <c r="E42" i="11"/>
  <c r="B19" i="12"/>
  <c r="B23" i="12"/>
  <c r="C19" i="12"/>
  <c r="C23" i="12"/>
  <c r="E29" i="11"/>
  <c r="E41" i="11"/>
  <c r="E47" i="11"/>
  <c r="B20" i="12"/>
  <c r="B24" i="12"/>
  <c r="E35" i="11"/>
  <c r="B8" i="12" a="1"/>
  <c r="B8" i="12" s="1"/>
  <c r="C20" i="12"/>
  <c r="C6" i="12" l="1" a="1"/>
  <c r="C6" i="12" s="1"/>
  <c r="C10" i="12" a="1"/>
  <c r="C10" i="12" s="1"/>
  <c r="C8" i="12" a="1"/>
  <c r="C8" i="12" s="1"/>
  <c r="C7" i="12" a="1"/>
  <c r="C7" i="12" s="1"/>
  <c r="C15" i="12" a="1"/>
  <c r="C15" i="12" s="1"/>
  <c r="B7" i="12" a="1"/>
  <c r="B7" i="12" s="1"/>
  <c r="C9" i="12" a="1"/>
  <c r="C9" i="12" s="1"/>
  <c r="B9" i="12" a="1"/>
  <c r="B9" i="12" s="1"/>
</calcChain>
</file>

<file path=xl/sharedStrings.xml><?xml version="1.0" encoding="utf-8"?>
<sst xmlns="http://schemas.openxmlformats.org/spreadsheetml/2006/main" count="999" uniqueCount="226">
  <si>
    <t>PTCF Peak Time Capacity Factors</t>
  </si>
  <si>
    <t>Wyoming</t>
  </si>
  <si>
    <t xml:space="preserve">Source: </t>
  </si>
  <si>
    <t>California Market</t>
  </si>
  <si>
    <t>Texas Market</t>
  </si>
  <si>
    <t>Southwest Market</t>
  </si>
  <si>
    <t>California Independent System Operator</t>
  </si>
  <si>
    <t>Electric Reliability Council of Texas</t>
  </si>
  <si>
    <t>Southwest Power Pool</t>
  </si>
  <si>
    <t>Final 2020 Net Qualifying Capacity for Resource Adequacy Resources</t>
  </si>
  <si>
    <t>CDR Peak Values for Solar PV and Wind by Season</t>
  </si>
  <si>
    <t>Solar and Wind ELCC Accreditation</t>
  </si>
  <si>
    <t>http://www.caiso.com/Documents/NetQualifyingCapacityList-2020.xls</t>
  </si>
  <si>
    <t>http://www.ercot.com/gridinfo/resource</t>
  </si>
  <si>
    <t>https://www.spp.org/documents/61025/elcc%20solar%20and%20wind%20accreditation.pdf</t>
  </si>
  <si>
    <t>2020 Technology Factors</t>
  </si>
  <si>
    <t>Midwest Market</t>
  </si>
  <si>
    <t>Mid Atlantic Market</t>
  </si>
  <si>
    <t>California Market Energy</t>
  </si>
  <si>
    <t>Midcontinent Independent System Operator</t>
  </si>
  <si>
    <t>PJM</t>
  </si>
  <si>
    <t>CAISO</t>
  </si>
  <si>
    <t>Planning Year 2020-2021 Wind &amp; Solar Capacity Credit</t>
  </si>
  <si>
    <t>Class Average Capacity Factors</t>
  </si>
  <si>
    <t>2019 Annual Report on Market Issues &amp; Performance</t>
  </si>
  <si>
    <t>https://cdn.misoenergy.org/2020%20Wind%20&amp;%20Solar%20Capacity%20Credit%20Report408144.pdf</t>
  </si>
  <si>
    <t>https://www.pjm.com/-/media/planning/res-adeq/class-average-wind-capacity-factors.ashx?la=en</t>
  </si>
  <si>
    <t>http://www.caiso.com/Documents/2019AnnualReportonMarketIssuesandPerformance.pdf</t>
  </si>
  <si>
    <t>p.16</t>
  </si>
  <si>
    <t>p.5-6</t>
  </si>
  <si>
    <t>Table 1.1</t>
  </si>
  <si>
    <t>New England Market - Solar</t>
  </si>
  <si>
    <t>Offshore Wind, Onshore Wind for PJM, ISO-NE, and NYISO</t>
  </si>
  <si>
    <t>New York Market Energy</t>
  </si>
  <si>
    <t>ISO New England</t>
  </si>
  <si>
    <t>LBNL</t>
  </si>
  <si>
    <t>NYISO</t>
  </si>
  <si>
    <t>Intermittent Resource Review</t>
  </si>
  <si>
    <t>Estimating the Value of Offshore Wind Along the United States’ Eastern Coast</t>
  </si>
  <si>
    <t>2020 Load and Capacity Data</t>
  </si>
  <si>
    <t>http://www.iso-ne.com/static-assets/documents/2015/12/vrwg_intermittent_resource_qual_tool_status_update_12072015.pdf</t>
  </si>
  <si>
    <t>https://www.nps.edu/documents/114698888/117879842/Offshore_WInd_Value_Navy_Postgraduate_School_Final.pdf/f4368eea-e0e0-4fba-a925-00f5d365b887?t=1542325871000</t>
  </si>
  <si>
    <t>https://www.nyiso.com/documents/20142/2226333/2020-Gold-Book-Final-Public.pdf/9ff426ab-e325-28bc-97cf-106d792593a1</t>
  </si>
  <si>
    <t>pp. 4 &amp; 7</t>
  </si>
  <si>
    <t>p.27</t>
  </si>
  <si>
    <t>Table I-1a</t>
  </si>
  <si>
    <t>New England Market Energy</t>
  </si>
  <si>
    <t>ISO-NE</t>
  </si>
  <si>
    <t>Notes</t>
  </si>
  <si>
    <t>Peak time capacity factors are meant to represent the average availability of resources to meeting peak</t>
  </si>
  <si>
    <t>2020 CELT Report</t>
  </si>
  <si>
    <t>during the peak hours of the year in the summer and winter seasons.</t>
  </si>
  <si>
    <t>https://www.iso-ne.com/system-planning/system-plans-studies/celt</t>
  </si>
  <si>
    <t>Table 1.5.2 Energy</t>
  </si>
  <si>
    <t>For renewable resources (e.g. wind and solar PV) we use values from each of the 6 U.S. regional markets.</t>
  </si>
  <si>
    <t>As part of the resource planning process, operators of these markets are required to assess available resources during</t>
  </si>
  <si>
    <t>peak hours of the year.</t>
  </si>
  <si>
    <t>We take factors where available from each of the markets and weight the values by the share</t>
  </si>
  <si>
    <t>of system load from each region to generate a weighted average peak time capacity factor</t>
  </si>
  <si>
    <t>for different resources across the US.</t>
  </si>
  <si>
    <t>2020 ELCC Values and Technology Factors</t>
  </si>
  <si>
    <t>Non-Dispatchable Solar, Wind, Biomass, Cogeneration, Geothermal, and</t>
  </si>
  <si>
    <t>Hydro Technology Factors for Compliance Year 2020</t>
  </si>
  <si>
    <t>Solar PV and Solar Thermal</t>
  </si>
  <si>
    <t>Month</t>
  </si>
  <si>
    <t>CY 2020 Solar ELCC</t>
  </si>
  <si>
    <t>Wind</t>
  </si>
  <si>
    <t>CY 2020 Wind ELCC</t>
  </si>
  <si>
    <t>Biomass</t>
  </si>
  <si>
    <t>CY 2020 Biomass Factor</t>
  </si>
  <si>
    <t>Cogeneration</t>
  </si>
  <si>
    <t>CY 2020 Cogeneration Factor</t>
  </si>
  <si>
    <t>Geothermal</t>
  </si>
  <si>
    <t>CY 2020 Geothermal Factor</t>
  </si>
  <si>
    <t>Hydro</t>
  </si>
  <si>
    <t>CY 2020 Hydro Factor</t>
  </si>
  <si>
    <t>Please refer any questions regarding these tables to:</t>
  </si>
  <si>
    <t>Simone Brant, CPUC, 415-703-5239, simone.brant@cpuc.ca.gov</t>
  </si>
  <si>
    <t>PEAK AVERAGE WIND CAPACITY PERCENTAGES, WINTER PEAK SEASONS</t>
  </si>
  <si>
    <t>WINDPEAKPCT Values (Weighted Averages based on Installed Wind Capacity)*</t>
  </si>
  <si>
    <t>Winter Peak Ave. Wind Capacity Percentages and Total Unit Capacities</t>
  </si>
  <si>
    <t>Winter, Panhandle</t>
  </si>
  <si>
    <t>Winter, Coastal</t>
  </si>
  <si>
    <t>Winter, Other</t>
  </si>
  <si>
    <t>Top Twenty Peak Hours for Each year</t>
  </si>
  <si>
    <t>CDR Wind Region</t>
  </si>
  <si>
    <t>Panhandle</t>
  </si>
  <si>
    <t>Coastal</t>
  </si>
  <si>
    <t>Other</t>
  </si>
  <si>
    <t>Year</t>
  </si>
  <si>
    <t>Capacity Contribution Percentage</t>
  </si>
  <si>
    <t>Capacity (MW)</t>
  </si>
  <si>
    <t>* The methodology for calculating WINDPEAKPCT values is outlined in ERCOT Protocol Section 3.2.6.2.2. See: http://www.ercot.com/content/wcm/current_guides/53528/03-030120_Nodal.docx</t>
  </si>
  <si>
    <t>2019-2020</t>
  </si>
  <si>
    <t>2018-2019</t>
  </si>
  <si>
    <t>2017-2018</t>
  </si>
  <si>
    <t>2016-2017</t>
  </si>
  <si>
    <t>2015-2016</t>
  </si>
  <si>
    <t>2014-2015</t>
  </si>
  <si>
    <t>2013-2014</t>
  </si>
  <si>
    <t>2012-2013</t>
  </si>
  <si>
    <t>2011-2012</t>
  </si>
  <si>
    <t>2010-2011</t>
  </si>
  <si>
    <t>PEAK AVERAGE SOLAR CAPACITY PERCENTAGES, WINTER PEAK SEASONS</t>
  </si>
  <si>
    <t>SOLARPEAKPCT Value (Weighted Average based on Installed Solar Capacity) *</t>
  </si>
  <si>
    <t>Winter Peak Ave. Solar Capacity Percentages and Total Unit Capacities</t>
  </si>
  <si>
    <t xml:space="preserve">Winter </t>
  </si>
  <si>
    <t>2019/2020</t>
  </si>
  <si>
    <t>2018/2019</t>
  </si>
  <si>
    <t>2017/2018</t>
  </si>
  <si>
    <t>* The methodology for calculating SOLARPEAKPCT values is outlined in ERCOT Protocol Section 3.2.6.2.2. See: http://www.ercot.com/content/wcm/current_guides/53528/03-030120_Nodal.docx</t>
  </si>
  <si>
    <t>PEAK AVERAGE SOLAR CAPACITY PERCENTAGES, SUMMER PEAK SEASONS</t>
  </si>
  <si>
    <t>Summer Peak Ave. Solar Capacity Percentages</t>
  </si>
  <si>
    <t>SOLARPEAKPCT Values *</t>
  </si>
  <si>
    <t>Average Solar Cap Percentage</t>
  </si>
  <si>
    <t>MW Solar Capacity</t>
  </si>
  <si>
    <t>PEAK AVERAGE WIND CAPACITY PERCENTAGES, SUMMER PEAK SEASONS</t>
  </si>
  <si>
    <t>WINDPEAKPCT Values *</t>
  </si>
  <si>
    <t>Summer Peak Ave. Wind Capacity Percentages and Total Unit Capacities</t>
  </si>
  <si>
    <t>Summer, Panhandle</t>
  </si>
  <si>
    <t>Summer, Coastal</t>
  </si>
  <si>
    <t>Summer, Other</t>
  </si>
  <si>
    <t>* The methodology for calculating WINDPEAKPCT values is outlined in ERCOT Protocol Section 3.2.6.2.2. See: http://www.ercot.com/content/wcm/current_guides/53528/03-101819_Nodal.docx</t>
  </si>
  <si>
    <t>Released: November 2017</t>
  </si>
  <si>
    <t>Next Update: November 2018</t>
  </si>
  <si>
    <t>Table 3B.1.  WECC monthly peak hour demand, by North American Electric Reliability Corporation Assesment Area,</t>
  </si>
  <si>
    <t>1996-2016 actual, 2017-2018 projected</t>
  </si>
  <si>
    <t>megawatts</t>
  </si>
  <si>
    <t>WECC</t>
  </si>
  <si>
    <t>January</t>
  </si>
  <si>
    <t>February</t>
  </si>
  <si>
    <t>March</t>
  </si>
  <si>
    <t>April</t>
  </si>
  <si>
    <t>May</t>
  </si>
  <si>
    <t>June</t>
  </si>
  <si>
    <t>July</t>
  </si>
  <si>
    <t>August</t>
  </si>
  <si>
    <t>September</t>
  </si>
  <si>
    <t>October</t>
  </si>
  <si>
    <t>November</t>
  </si>
  <si>
    <t>December</t>
  </si>
  <si>
    <t>Actual</t>
  </si>
  <si>
    <t>Projected</t>
  </si>
  <si>
    <t>2017E</t>
  </si>
  <si>
    <t>2018E</t>
  </si>
  <si>
    <t>Table 3B.1.  TRE monthly peak hour demand, by North American Electric Reliability Corporation Assesment Area,</t>
  </si>
  <si>
    <t>TRE</t>
  </si>
  <si>
    <t>Table 3B.1.  MISO monthly peak hour demand, by North American Electric Reliability Corporation Assesment Area,</t>
  </si>
  <si>
    <t>MISO</t>
  </si>
  <si>
    <t>NA</t>
  </si>
  <si>
    <t>Table 3B.1.  SPP monthly peak hour demand, by North American Electric Reliability Corporation Assesment Area,</t>
  </si>
  <si>
    <t>SPP</t>
  </si>
  <si>
    <t>Table 3B.1.  PJM monthly peak hour demand, by North American Electric Reliability Corporation Assesment Area,</t>
  </si>
  <si>
    <t>Table 3B.1.  NPCC monthly peak hour demand, by North American Electric Reliability Corporation Assesment Area,</t>
  </si>
  <si>
    <t>NPCC</t>
  </si>
  <si>
    <t>Interconnection</t>
  </si>
  <si>
    <t>NERC Regional Assesment Area</t>
  </si>
  <si>
    <t>2019E</t>
  </si>
  <si>
    <t>2020E</t>
  </si>
  <si>
    <t>2021E</t>
  </si>
  <si>
    <t>2022E</t>
  </si>
  <si>
    <t>2023E</t>
  </si>
  <si>
    <t>2024E</t>
  </si>
  <si>
    <t>2025E</t>
  </si>
  <si>
    <t>2026E</t>
  </si>
  <si>
    <t>2027E</t>
  </si>
  <si>
    <t>Eastern Interconnection</t>
  </si>
  <si>
    <t>FRCC</t>
  </si>
  <si>
    <t>Balance of Eastern Region</t>
  </si>
  <si>
    <t>ECAR</t>
  </si>
  <si>
    <t>MAAC</t>
  </si>
  <si>
    <t>MAIN</t>
  </si>
  <si>
    <t>MAPP</t>
  </si>
  <si>
    <t>MRO</t>
  </si>
  <si>
    <t>RFC</t>
  </si>
  <si>
    <t>SERC</t>
  </si>
  <si>
    <t>ERCOT</t>
  </si>
  <si>
    <t>Western Interconnection</t>
  </si>
  <si>
    <t>All Interconnections</t>
  </si>
  <si>
    <t xml:space="preserve">Contiguous U.S. </t>
  </si>
  <si>
    <t>Notes: • NERC region and reliability assessment area maps are provided on EIA's Electricity Reliability web page: http://www.eia.gov/electricity/data/eia411/</t>
  </si>
  <si>
    <t>• Projected data are updated annually.</t>
  </si>
  <si>
    <t xml:space="preserve">• Peak load represents an hour of a day during the associated peak period. </t>
  </si>
  <si>
    <t>• The Summer peak period begins on June1 and extends through September 30. •  The Winter peak period begins October 1 and extends through May 31.</t>
  </si>
  <si>
    <t>• Historically the MRO, RFC, SERC, and SPP regional boundaries were altered as utilities changed reliability organizations.  The historical data series for these regions have not been adjusted.  Instead, the Balance of Eastern Region category was introduced to to provide a consistent trend of the Eastern interconnection.</t>
  </si>
  <si>
    <t xml:space="preserve"> • ECAR, MAAC, and MAIN dissolved at the end-of-2005.  Many of the former utility members joined RFC.  ReliabilityFirst Corporation (RFC) came into existence on January 1, 2006.  RFC submitted a consolidated filing covering the historical NERC regions of ECAR, MAAC, and MAIN.</t>
  </si>
  <si>
    <t xml:space="preserve"> • MAPP was absorbed into MISO, SPP and WECC in 2015.</t>
  </si>
  <si>
    <t xml:space="preserve"> • E - Estimate; NA - Not Available</t>
  </si>
  <si>
    <t>Source:  U.S. Energy Information Administration, Form EIA-411, "Coordinated Bulk Power Supply and Demand Program Report."</t>
  </si>
  <si>
    <t>Seasonal Peak Month</t>
  </si>
  <si>
    <t>Balancing Area</t>
  </si>
  <si>
    <t>Reliability Area</t>
  </si>
  <si>
    <t>Summer</t>
  </si>
  <si>
    <t>Winter</t>
  </si>
  <si>
    <t>Peak Month Capacity Factors (most recent year)</t>
  </si>
  <si>
    <t>Electricity Source</t>
  </si>
  <si>
    <t>Annual Load</t>
  </si>
  <si>
    <t>solar pv</t>
  </si>
  <si>
    <t>onshore wind</t>
  </si>
  <si>
    <t>solar thermal</t>
  </si>
  <si>
    <t>biomass</t>
  </si>
  <si>
    <t>geothermal</t>
  </si>
  <si>
    <t>hydro</t>
  </si>
  <si>
    <t>offshore wind</t>
  </si>
  <si>
    <t>Annual Load (2019)</t>
  </si>
  <si>
    <t>Unit: dimensionless (peak time capacity factors)</t>
  </si>
  <si>
    <t>summer</t>
  </si>
  <si>
    <t>winter</t>
  </si>
  <si>
    <t>hard coal</t>
  </si>
  <si>
    <t>natural gas steam turbine</t>
  </si>
  <si>
    <t>natural gas combined cycle</t>
  </si>
  <si>
    <t>nuclear</t>
  </si>
  <si>
    <t xml:space="preserve">geothermal </t>
  </si>
  <si>
    <t>petroleum</t>
  </si>
  <si>
    <t>natural gas nonpeaker</t>
  </si>
  <si>
    <t>lignite</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</si>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</sst>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000"/>
    <numFmt numFmtId="165" formatCode="_(* #,##0_);_(* \(#,##0\);_(* &quot;-&quot;??_);_(@_)"/>
    <numFmt numFmtId="166" formatCode="_(* #,##0_);_(* \(#,##0\);_(* &quot;-&quot;?_);_(@_)"/>
    <numFmt numFmtId="167" formatCode="0.0%"/>
    <numFmt numFmtId="168" formatCode="_(* #,##0.0_);_(* \(#,##0.0\);_(* &quot;-&quot;??_);_(@_)"/>
    <numFmt numFmtId="169" formatCode="0.0"/>
  </numFmts>
  <fonts count="30" x14ac:knownFonts="1">
    <font>
      <sz val="11"/>
      <color theme="1"/>
      <name val="Calibri"/>
      <family val="2"/>
      <scheme val="minor"/>
    </font>
    <font>
      <b/>
      <sz val="11"/>
      <color theme="1"/>
      <name val="Calibri"/>
      <family val="2"/>
      <scheme val="minor"/>
    </font>
    <font>
      <sz val="11"/>
      <color theme="1"/>
      <name val="Calibri"/>
      <family val="2"/>
      <scheme val="minor"/>
    </font>
    <font>
      <b/>
      <sz val="14"/>
      <color theme="1"/>
      <name val="Arial"/>
      <family val="2"/>
    </font>
    <font>
      <i/>
      <sz val="12"/>
      <color theme="1"/>
      <name val="Arial"/>
      <family val="2"/>
    </font>
    <font>
      <b/>
      <sz val="12"/>
      <color theme="0"/>
      <name val="Arial"/>
      <family val="2"/>
    </font>
    <font>
      <sz val="12"/>
      <color theme="0"/>
      <name val="Arial"/>
      <family val="2"/>
    </font>
    <font>
      <b/>
      <sz val="12"/>
      <color theme="1"/>
      <name val="Arial"/>
      <family val="2"/>
    </font>
    <font>
      <sz val="12"/>
      <color theme="1"/>
      <name val="Arial"/>
      <family val="2"/>
    </font>
    <font>
      <sz val="12"/>
      <name val="Arial"/>
      <family val="2"/>
    </font>
    <font>
      <sz val="10"/>
      <color theme="1"/>
      <name val="Arial"/>
      <family val="2"/>
    </font>
    <font>
      <sz val="11"/>
      <name val="Calibri"/>
      <family val="2"/>
      <scheme val="minor"/>
    </font>
    <font>
      <b/>
      <sz val="11"/>
      <color rgb="FF000000"/>
      <name val="Calibri"/>
      <family val="2"/>
    </font>
    <font>
      <sz val="11"/>
      <color rgb="FF000000"/>
      <name val="Calibri"/>
      <family val="2"/>
    </font>
    <font>
      <sz val="11"/>
      <name val="Calibri"/>
      <family val="2"/>
    </font>
    <font>
      <b/>
      <sz val="11"/>
      <name val="Calibri"/>
      <family val="2"/>
    </font>
    <font>
      <sz val="11"/>
      <color theme="1"/>
      <name val="Calibri"/>
      <family val="2"/>
    </font>
    <font>
      <sz val="9"/>
      <color theme="1"/>
      <name val="Calibri"/>
      <family val="2"/>
      <scheme val="minor"/>
    </font>
    <font>
      <b/>
      <sz val="12"/>
      <color theme="4"/>
      <name val="Calibri"/>
      <family val="2"/>
      <scheme val="minor"/>
    </font>
    <font>
      <b/>
      <sz val="9"/>
      <color theme="1"/>
      <name val="Calibri"/>
      <family val="2"/>
      <scheme val="minor"/>
    </font>
    <font>
      <u/>
      <sz val="11"/>
      <color theme="10"/>
      <name val="Calibri"/>
      <family val="2"/>
      <scheme val="minor"/>
    </font>
    <font>
      <sz val="8"/>
      <color theme="1"/>
      <name val="Calibri"/>
      <family val="2"/>
      <scheme val="minor"/>
    </font>
    <font>
      <b/>
      <sz val="8"/>
      <color theme="1"/>
      <name val="Calibri"/>
      <family val="2"/>
      <scheme val="minor"/>
    </font>
    <font>
      <sz val="10"/>
      <name val="Arial"/>
      <family val="2"/>
    </font>
    <font>
      <b/>
      <sz val="10"/>
      <name val="Arial"/>
      <family val="2"/>
    </font>
    <font>
      <sz val="8"/>
      <name val="Calibri"/>
      <family val="2"/>
      <scheme val="minor"/>
    </font>
    <font>
      <sz val="10"/>
      <name val="Times New Roman"/>
      <family val="1"/>
    </font>
    <font>
      <b/>
      <sz val="11"/>
      <name val="Calibri"/>
      <family val="2"/>
      <scheme val="minor"/>
    </font>
    <font>
      <i/>
      <sz val="11"/>
      <color theme="1"/>
      <name val="Calibri"/>
      <family val="2"/>
      <scheme val="minor"/>
    </font>
    <font>
      <sz val="11"/>
      <color rgb="FF000000"/>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3" tint="-0.249977111117893"/>
        <bgColor indexed="64"/>
      </patternFill>
    </fill>
    <fill>
      <patternFill patternType="solid">
        <fgColor theme="0" tint="-0.14999847407452621"/>
        <bgColor indexed="64"/>
      </patternFill>
    </fill>
    <fill>
      <patternFill patternType="solid">
        <fgColor rgb="FFEBF1DE"/>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ck">
        <color theme="4"/>
      </bottom>
      <diagonal/>
    </border>
    <border>
      <left/>
      <right/>
      <top/>
      <bottom style="dashed">
        <color theme="0" tint="-0.24994659260841701"/>
      </bottom>
      <diagonal/>
    </border>
    <border>
      <left/>
      <right/>
      <top/>
      <bottom style="thin">
        <color theme="0" tint="-0.249977111117893"/>
      </bottom>
      <diagonal/>
    </border>
    <border>
      <left/>
      <right/>
      <top style="dashed">
        <color theme="0" tint="-0.24994659260841701"/>
      </top>
      <bottom style="medium">
        <color theme="4"/>
      </bottom>
      <diagonal/>
    </border>
    <border>
      <left/>
      <right/>
      <top style="medium">
        <color theme="4"/>
      </top>
      <bottom/>
      <diagonal/>
    </border>
    <border>
      <left/>
      <right/>
      <top style="thick">
        <color theme="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auto="1"/>
      </top>
      <bottom style="thin">
        <color auto="1"/>
      </bottom>
      <diagonal/>
    </border>
  </borders>
  <cellStyleXfs count="13">
    <xf numFmtId="0" fontId="0" fillId="0" borderId="0"/>
    <xf numFmtId="9" fontId="2" fillId="0" borderId="0"/>
    <xf numFmtId="0" fontId="2" fillId="0" borderId="0"/>
    <xf numFmtId="0" fontId="17" fillId="0" borderId="0"/>
    <xf numFmtId="0" fontId="18" fillId="0" borderId="0">
      <alignment horizontal="left"/>
    </xf>
    <xf numFmtId="0" fontId="19" fillId="0" borderId="5">
      <alignment wrapText="1"/>
    </xf>
    <xf numFmtId="0" fontId="17" fillId="0" borderId="6">
      <alignment wrapText="1"/>
    </xf>
    <xf numFmtId="0" fontId="20" fillId="0" borderId="0"/>
    <xf numFmtId="43" fontId="2" fillId="0" borderId="0"/>
    <xf numFmtId="0" fontId="19" fillId="0" borderId="7">
      <alignment wrapText="1"/>
    </xf>
    <xf numFmtId="0" fontId="17" fillId="0" borderId="9">
      <alignment vertical="top" wrapText="1"/>
    </xf>
    <xf numFmtId="0" fontId="2" fillId="0" borderId="0"/>
    <xf numFmtId="9" fontId="2" fillId="0" borderId="0"/>
  </cellStyleXfs>
  <cellXfs count="134">
    <xf numFmtId="0" fontId="0" fillId="0" borderId="0" xfId="0"/>
    <xf numFmtId="0" fontId="1" fillId="0" borderId="0" xfId="0" applyFont="1"/>
    <xf numFmtId="0" fontId="1" fillId="2" borderId="0" xfId="0" applyFont="1" applyFill="1"/>
    <xf numFmtId="0" fontId="0" fillId="0" borderId="0" xfId="0" applyAlignment="1">
      <alignment horizontal="left"/>
    </xf>
    <xf numFmtId="164" fontId="0" fillId="0" borderId="0" xfId="0" applyNumberFormat="1"/>
    <xf numFmtId="0" fontId="10" fillId="0" borderId="0" xfId="2" applyFont="1"/>
    <xf numFmtId="0" fontId="11" fillId="0" borderId="0" xfId="0" applyFont="1"/>
    <xf numFmtId="0" fontId="14" fillId="0" borderId="1" xfId="0" applyFont="1" applyBorder="1" applyAlignment="1">
      <alignment horizontal="left" vertical="center"/>
    </xf>
    <xf numFmtId="0" fontId="16" fillId="0" borderId="0" xfId="0" applyFont="1"/>
    <xf numFmtId="0" fontId="12" fillId="0" borderId="0" xfId="0" applyFont="1"/>
    <xf numFmtId="9" fontId="0" fillId="0" borderId="0" xfId="0" applyNumberFormat="1"/>
    <xf numFmtId="9" fontId="0" fillId="0" borderId="0" xfId="1" applyFont="1"/>
    <xf numFmtId="0" fontId="20" fillId="0" borderId="0" xfId="7"/>
    <xf numFmtId="0" fontId="0" fillId="0" borderId="0" xfId="0" applyAlignment="1">
      <alignment horizontal="right" wrapText="1"/>
    </xf>
    <xf numFmtId="0" fontId="17" fillId="0" borderId="0" xfId="6" applyBorder="1">
      <alignment wrapText="1"/>
    </xf>
    <xf numFmtId="0" fontId="17" fillId="0" borderId="0" xfId="3" applyAlignment="1">
      <alignment horizontal="left"/>
    </xf>
    <xf numFmtId="0" fontId="22" fillId="0" borderId="7" xfId="9" applyFont="1">
      <alignment wrapText="1"/>
    </xf>
    <xf numFmtId="0" fontId="22" fillId="0" borderId="0" xfId="9" applyFont="1" applyBorder="1">
      <alignment wrapText="1"/>
    </xf>
    <xf numFmtId="0" fontId="22" fillId="0" borderId="5" xfId="5" applyFont="1">
      <alignment wrapText="1"/>
    </xf>
    <xf numFmtId="0" fontId="22" fillId="0" borderId="5" xfId="5" applyFont="1" applyAlignment="1">
      <alignment horizontal="right" wrapText="1"/>
    </xf>
    <xf numFmtId="0" fontId="21" fillId="0" borderId="6" xfId="6" applyFont="1">
      <alignment wrapText="1"/>
    </xf>
    <xf numFmtId="165" fontId="21" fillId="0" borderId="6" xfId="6" applyNumberFormat="1" applyFont="1" applyAlignment="1">
      <alignment horizontal="right" wrapText="1"/>
    </xf>
    <xf numFmtId="0" fontId="21" fillId="0" borderId="6" xfId="6" applyFont="1" applyAlignment="1">
      <alignment horizontal="right" wrapText="1"/>
    </xf>
    <xf numFmtId="3" fontId="21" fillId="0" borderId="6" xfId="6" applyNumberFormat="1" applyFont="1" applyAlignment="1">
      <alignment horizontal="right" wrapText="1"/>
    </xf>
    <xf numFmtId="165" fontId="21" fillId="0" borderId="6" xfId="6" applyNumberFormat="1" applyFont="1">
      <alignment wrapText="1"/>
    </xf>
    <xf numFmtId="0" fontId="17" fillId="0" borderId="0" xfId="3" applyAlignment="1">
      <alignment vertical="center"/>
    </xf>
    <xf numFmtId="0" fontId="17" fillId="0" borderId="0" xfId="3"/>
    <xf numFmtId="0" fontId="23" fillId="0" borderId="0" xfId="0" applyFont="1"/>
    <xf numFmtId="0" fontId="18" fillId="0" borderId="0" xfId="4">
      <alignment horizontal="left"/>
    </xf>
    <xf numFmtId="0" fontId="24" fillId="0" borderId="0" xfId="0" applyFont="1"/>
    <xf numFmtId="0" fontId="21" fillId="0" borderId="10" xfId="6" applyFont="1" applyBorder="1">
      <alignment wrapText="1"/>
    </xf>
    <xf numFmtId="165" fontId="21" fillId="0" borderId="10" xfId="6" applyNumberFormat="1" applyFont="1" applyBorder="1" applyAlignment="1">
      <alignment horizontal="right" wrapText="1"/>
    </xf>
    <xf numFmtId="0" fontId="21" fillId="0" borderId="0" xfId="6" applyFont="1" applyBorder="1">
      <alignment wrapText="1"/>
    </xf>
    <xf numFmtId="165" fontId="21" fillId="0" borderId="0" xfId="6" applyNumberFormat="1" applyFont="1" applyBorder="1" applyAlignment="1">
      <alignment horizontal="right" wrapText="1"/>
    </xf>
    <xf numFmtId="0" fontId="21" fillId="0" borderId="0" xfId="6" applyFont="1" applyBorder="1" applyAlignment="1">
      <alignment horizontal="right" wrapText="1"/>
    </xf>
    <xf numFmtId="166" fontId="21" fillId="0" borderId="0" xfId="6" applyNumberFormat="1" applyFont="1" applyBorder="1" applyAlignment="1">
      <alignment horizontal="right" wrapText="1"/>
    </xf>
    <xf numFmtId="165" fontId="25" fillId="0" borderId="0" xfId="0" applyNumberFormat="1" applyFont="1" applyAlignment="1">
      <alignment horizontal="right" wrapText="1"/>
    </xf>
    <xf numFmtId="166" fontId="21" fillId="0" borderId="0" xfId="0" applyNumberFormat="1" applyFont="1" applyAlignment="1">
      <alignment horizontal="right" wrapText="1"/>
    </xf>
    <xf numFmtId="165" fontId="21" fillId="0" borderId="0" xfId="8" applyNumberFormat="1" applyFont="1" applyAlignment="1">
      <alignment horizontal="right" wrapText="1"/>
    </xf>
    <xf numFmtId="165" fontId="21" fillId="0" borderId="0" xfId="0" applyNumberFormat="1" applyFont="1" applyAlignment="1">
      <alignment horizontal="right" wrapText="1"/>
    </xf>
    <xf numFmtId="0" fontId="26" fillId="0" borderId="0" xfId="0" applyFont="1" applyAlignment="1">
      <alignment horizontal="left"/>
    </xf>
    <xf numFmtId="0" fontId="22" fillId="0" borderId="5" xfId="5" applyFont="1" applyAlignment="1">
      <alignment horizontal="left" wrapText="1"/>
    </xf>
    <xf numFmtId="0" fontId="21" fillId="0" borderId="10" xfId="6" applyFont="1" applyBorder="1" applyAlignment="1">
      <alignment horizontal="right" wrapText="1"/>
    </xf>
    <xf numFmtId="165" fontId="21" fillId="0" borderId="0" xfId="8" applyNumberFormat="1" applyFont="1"/>
    <xf numFmtId="0" fontId="3" fillId="0" borderId="0" xfId="11" applyFont="1"/>
    <xf numFmtId="0" fontId="2" fillId="0" borderId="0" xfId="11"/>
    <xf numFmtId="164" fontId="2" fillId="0" borderId="0" xfId="11" applyNumberFormat="1"/>
    <xf numFmtId="0" fontId="4" fillId="0" borderId="0" xfId="11" applyFont="1"/>
    <xf numFmtId="0" fontId="5" fillId="3" borderId="0" xfId="11" applyFont="1" applyFill="1" applyAlignment="1">
      <alignment horizontal="left"/>
    </xf>
    <xf numFmtId="164" fontId="6" fillId="3" borderId="0" xfId="11" applyNumberFormat="1" applyFont="1" applyFill="1" applyAlignment="1">
      <alignment horizontal="center"/>
    </xf>
    <xf numFmtId="10" fontId="6" fillId="3" borderId="0" xfId="11" applyNumberFormat="1" applyFont="1" applyFill="1" applyAlignment="1">
      <alignment horizontal="center"/>
    </xf>
    <xf numFmtId="0" fontId="7" fillId="4" borderId="0" xfId="11" applyFont="1" applyFill="1" applyAlignment="1">
      <alignment horizontal="center"/>
    </xf>
    <xf numFmtId="0" fontId="7" fillId="0" borderId="0" xfId="11" applyFont="1" applyAlignment="1">
      <alignment horizontal="center"/>
    </xf>
    <xf numFmtId="0" fontId="2" fillId="0" borderId="0" xfId="11" applyAlignment="1">
      <alignment horizontal="center"/>
    </xf>
    <xf numFmtId="0" fontId="8" fillId="0" borderId="0" xfId="11" applyFont="1" applyAlignment="1">
      <alignment horizontal="center"/>
    </xf>
    <xf numFmtId="2" fontId="9" fillId="0" borderId="0" xfId="11" applyNumberFormat="1" applyFont="1" applyAlignment="1">
      <alignment horizontal="center"/>
    </xf>
    <xf numFmtId="164" fontId="2" fillId="0" borderId="0" xfId="11" applyNumberFormat="1" applyAlignment="1">
      <alignment horizontal="center"/>
    </xf>
    <xf numFmtId="10" fontId="8" fillId="0" borderId="0" xfId="11" applyNumberFormat="1" applyFont="1" applyAlignment="1">
      <alignment horizontal="center"/>
    </xf>
    <xf numFmtId="10" fontId="9" fillId="0" borderId="0" xfId="11" applyNumberFormat="1" applyFont="1" applyAlignment="1">
      <alignment horizontal="center"/>
    </xf>
    <xf numFmtId="164" fontId="5" fillId="3" borderId="0" xfId="11" applyNumberFormat="1" applyFont="1" applyFill="1" applyAlignment="1">
      <alignment horizontal="center"/>
    </xf>
    <xf numFmtId="10" fontId="5" fillId="3" borderId="0" xfId="11" applyNumberFormat="1" applyFont="1" applyFill="1" applyAlignment="1">
      <alignment horizontal="center"/>
    </xf>
    <xf numFmtId="167" fontId="8" fillId="0" borderId="0" xfId="11" applyNumberFormat="1" applyFont="1" applyAlignment="1">
      <alignment horizontal="center"/>
    </xf>
    <xf numFmtId="10" fontId="7" fillId="4" borderId="0" xfId="11" applyNumberFormat="1" applyFont="1" applyFill="1" applyAlignment="1">
      <alignment horizontal="center"/>
    </xf>
    <xf numFmtId="9" fontId="2" fillId="0" borderId="0" xfId="12"/>
    <xf numFmtId="0" fontId="5" fillId="3" borderId="0" xfId="11" applyFont="1" applyFill="1" applyAlignment="1">
      <alignment horizontal="center"/>
    </xf>
    <xf numFmtId="0" fontId="27" fillId="0" borderId="0" xfId="0" applyFont="1"/>
    <xf numFmtId="49" fontId="27" fillId="0" borderId="0" xfId="1" applyNumberFormat="1" applyFont="1"/>
    <xf numFmtId="0" fontId="15" fillId="5" borderId="1" xfId="0" applyFont="1" applyFill="1" applyBorder="1" applyAlignment="1">
      <alignment horizontal="center" vertical="center"/>
    </xf>
    <xf numFmtId="9" fontId="16" fillId="0" borderId="1" xfId="1" applyFont="1" applyBorder="1"/>
    <xf numFmtId="0" fontId="15" fillId="5" borderId="2" xfId="0" applyFont="1" applyFill="1" applyBorder="1" applyAlignment="1">
      <alignment horizontal="left" vertical="center"/>
    </xf>
    <xf numFmtId="0" fontId="15" fillId="5" borderId="1" xfId="0" applyFont="1" applyFill="1" applyBorder="1" applyAlignment="1">
      <alignment horizontal="left" vertical="center"/>
    </xf>
    <xf numFmtId="0" fontId="15" fillId="5" borderId="1" xfId="0" applyFont="1" applyFill="1" applyBorder="1" applyAlignment="1">
      <alignment horizontal="center" vertical="center" wrapText="1"/>
    </xf>
    <xf numFmtId="167" fontId="16" fillId="0" borderId="1" xfId="1" applyNumberFormat="1" applyFont="1" applyBorder="1"/>
    <xf numFmtId="168" fontId="0" fillId="0" borderId="1" xfId="8" applyNumberFormat="1" applyFont="1" applyBorder="1"/>
    <xf numFmtId="167" fontId="11" fillId="0" borderId="0" xfId="1" applyNumberFormat="1" applyFont="1" applyAlignment="1">
      <alignment vertical="top" wrapText="1"/>
    </xf>
    <xf numFmtId="167" fontId="27" fillId="0" borderId="0" xfId="1" applyNumberFormat="1" applyFont="1"/>
    <xf numFmtId="167" fontId="11" fillId="0" borderId="0" xfId="1" applyNumberFormat="1" applyFont="1"/>
    <xf numFmtId="0" fontId="15" fillId="5" borderId="1" xfId="0" applyFont="1" applyFill="1" applyBorder="1" applyAlignment="1">
      <alignment vertical="center"/>
    </xf>
    <xf numFmtId="9" fontId="27" fillId="0" borderId="1" xfId="1" applyFont="1" applyBorder="1"/>
    <xf numFmtId="0" fontId="12" fillId="5" borderId="1" xfId="0" applyFont="1" applyFill="1" applyBorder="1" applyAlignment="1">
      <alignment horizontal="left" vertical="center"/>
    </xf>
    <xf numFmtId="9" fontId="13" fillId="0" borderId="1" xfId="1" applyFont="1" applyBorder="1" applyAlignment="1">
      <alignment horizontal="center" vertical="center"/>
    </xf>
    <xf numFmtId="165" fontId="14" fillId="0" borderId="1" xfId="8" applyNumberFormat="1" applyFont="1" applyBorder="1" applyAlignment="1">
      <alignment horizontal="right" vertical="center"/>
    </xf>
    <xf numFmtId="1" fontId="14" fillId="0" borderId="0" xfId="0" applyNumberFormat="1" applyFont="1" applyAlignment="1">
      <alignment horizontal="right" vertical="center"/>
    </xf>
    <xf numFmtId="9" fontId="0" fillId="0" borderId="1" xfId="1" applyFont="1" applyBorder="1" applyAlignment="1">
      <alignment horizontal="center"/>
    </xf>
    <xf numFmtId="165" fontId="0" fillId="0" borderId="1" xfId="8" applyNumberFormat="1" applyFont="1" applyBorder="1"/>
    <xf numFmtId="167" fontId="25" fillId="0" borderId="0" xfId="1" applyNumberFormat="1" applyFont="1" applyAlignment="1">
      <alignment horizontal="left" vertical="top" wrapText="1"/>
    </xf>
    <xf numFmtId="0" fontId="15" fillId="0" borderId="0" xfId="0" applyFont="1" applyAlignment="1">
      <alignment horizontal="center" vertical="center"/>
    </xf>
    <xf numFmtId="0" fontId="15" fillId="0" borderId="15" xfId="0" applyFont="1" applyBorder="1" applyAlignment="1">
      <alignment horizontal="center" vertical="center"/>
    </xf>
    <xf numFmtId="0" fontId="15" fillId="0" borderId="16" xfId="0" applyFont="1" applyBorder="1" applyAlignment="1">
      <alignment horizontal="center" vertical="center"/>
    </xf>
    <xf numFmtId="0" fontId="14" fillId="0" borderId="2" xfId="0" applyFont="1" applyBorder="1" applyAlignment="1">
      <alignment horizontal="left" vertical="center"/>
    </xf>
    <xf numFmtId="9" fontId="14" fillId="0" borderId="1" xfId="1" applyFont="1" applyBorder="1" applyAlignment="1">
      <alignment horizontal="center" vertical="center"/>
    </xf>
    <xf numFmtId="168" fontId="14" fillId="0" borderId="1" xfId="8" applyNumberFormat="1" applyFont="1" applyBorder="1" applyAlignment="1">
      <alignment horizontal="left" vertical="center"/>
    </xf>
    <xf numFmtId="169" fontId="14" fillId="0" borderId="0" xfId="0" applyNumberFormat="1" applyFont="1" applyAlignment="1">
      <alignment horizontal="left" vertical="center"/>
    </xf>
    <xf numFmtId="9" fontId="14" fillId="0" borderId="1" xfId="0" applyNumberFormat="1" applyFont="1" applyBorder="1" applyAlignment="1">
      <alignment horizontal="center" vertical="center"/>
    </xf>
    <xf numFmtId="166" fontId="21" fillId="0" borderId="6" xfId="6" applyNumberFormat="1" applyFont="1">
      <alignment wrapText="1"/>
    </xf>
    <xf numFmtId="3" fontId="21" fillId="0" borderId="6" xfId="6" applyNumberFormat="1" applyFont="1">
      <alignment wrapText="1"/>
    </xf>
    <xf numFmtId="165" fontId="21" fillId="0" borderId="6" xfId="8" applyNumberFormat="1" applyFont="1" applyBorder="1" applyAlignment="1">
      <alignment wrapText="1"/>
    </xf>
    <xf numFmtId="165" fontId="21" fillId="0" borderId="8" xfId="6" applyNumberFormat="1" applyFont="1" applyBorder="1">
      <alignment wrapText="1"/>
    </xf>
    <xf numFmtId="0" fontId="21" fillId="0" borderId="9" xfId="10" applyFont="1" applyAlignment="1">
      <alignment vertical="top"/>
    </xf>
    <xf numFmtId="0" fontId="21" fillId="0" borderId="9" xfId="10" applyFont="1">
      <alignment vertical="top" wrapText="1"/>
    </xf>
    <xf numFmtId="0" fontId="21" fillId="0" borderId="0" xfId="3" applyFont="1"/>
    <xf numFmtId="0" fontId="21" fillId="0" borderId="0" xfId="3" applyFont="1" applyAlignment="1">
      <alignment horizontal="left"/>
    </xf>
    <xf numFmtId="1" fontId="0" fillId="0" borderId="0" xfId="0" applyNumberFormat="1"/>
    <xf numFmtId="1" fontId="0" fillId="0" borderId="0" xfId="0" applyNumberFormat="1" applyAlignment="1">
      <alignment horizontal="left"/>
    </xf>
    <xf numFmtId="0" fontId="28" fillId="0" borderId="0" xfId="0" applyFont="1" applyAlignment="1">
      <alignment wrapText="1"/>
    </xf>
    <xf numFmtId="0" fontId="0" fillId="0" borderId="0" xfId="0" applyAlignment="1">
      <alignment horizontal="right"/>
    </xf>
    <xf numFmtId="169" fontId="0" fillId="0" borderId="0" xfId="0" applyNumberFormat="1"/>
    <xf numFmtId="0" fontId="29" fillId="0" borderId="0" xfId="0" applyFont="1" applyAlignment="1">
      <alignment vertical="center"/>
    </xf>
    <xf numFmtId="167" fontId="8" fillId="0" borderId="0" xfId="11" applyNumberFormat="1" applyFont="1" applyAlignment="1">
      <alignment horizontal="center"/>
    </xf>
    <xf numFmtId="0" fontId="2" fillId="0" borderId="0" xfId="11"/>
    <xf numFmtId="10" fontId="8" fillId="0" borderId="0" xfId="11" applyNumberFormat="1" applyFont="1" applyAlignment="1">
      <alignment horizontal="center"/>
    </xf>
    <xf numFmtId="10" fontId="7" fillId="4" borderId="0" xfId="11" applyNumberFormat="1" applyFont="1" applyFill="1" applyAlignment="1">
      <alignment horizontal="center"/>
    </xf>
    <xf numFmtId="167" fontId="11" fillId="0" borderId="0" xfId="1" applyNumberFormat="1" applyFont="1" applyAlignment="1">
      <alignment horizontal="left" vertical="top" wrapText="1"/>
    </xf>
    <xf numFmtId="0" fontId="0" fillId="0" borderId="0" xfId="0"/>
    <xf numFmtId="0" fontId="15" fillId="5" borderId="17" xfId="0" applyFont="1" applyFill="1" applyBorder="1" applyAlignment="1">
      <alignment horizontal="left" vertical="center"/>
    </xf>
    <xf numFmtId="0" fontId="0" fillId="0" borderId="3" xfId="0" applyBorder="1"/>
    <xf numFmtId="0" fontId="0" fillId="0" borderId="4" xfId="0" applyBorder="1"/>
    <xf numFmtId="0" fontId="15" fillId="5" borderId="1" xfId="0" applyFont="1" applyFill="1" applyBorder="1" applyAlignment="1">
      <alignment horizontal="center" vertical="center"/>
    </xf>
    <xf numFmtId="0" fontId="0" fillId="0" borderId="18" xfId="0" applyBorder="1"/>
    <xf numFmtId="0" fontId="15" fillId="5" borderId="17" xfId="0" applyFont="1" applyFill="1" applyBorder="1" applyAlignment="1">
      <alignment horizontal="center" vertical="center"/>
    </xf>
    <xf numFmtId="0" fontId="12" fillId="5" borderId="17" xfId="0" applyFont="1" applyFill="1" applyBorder="1" applyAlignment="1">
      <alignment horizontal="left" vertical="center"/>
    </xf>
    <xf numFmtId="0" fontId="15" fillId="5" borderId="19" xfId="0" applyFont="1" applyFill="1" applyBorder="1" applyAlignment="1">
      <alignment horizontal="center" vertical="center"/>
    </xf>
    <xf numFmtId="0" fontId="0" fillId="0" borderId="11" xfId="0" applyBorder="1"/>
    <xf numFmtId="0" fontId="0" fillId="0" borderId="12" xfId="0" applyBorder="1"/>
    <xf numFmtId="0" fontId="15" fillId="5" borderId="20" xfId="0" applyFont="1" applyFill="1" applyBorder="1" applyAlignment="1">
      <alignment horizontal="center" vertical="center"/>
    </xf>
    <xf numFmtId="0" fontId="0" fillId="0" borderId="13" xfId="0" applyBorder="1"/>
    <xf numFmtId="0" fontId="0" fillId="0" borderId="14" xfId="0" applyBorder="1"/>
    <xf numFmtId="0" fontId="21" fillId="0" borderId="10" xfId="6" applyFont="1" applyBorder="1" applyAlignment="1">
      <alignment horizontal="center" wrapText="1"/>
    </xf>
    <xf numFmtId="0" fontId="21" fillId="0" borderId="0" xfId="3" applyFont="1" applyAlignment="1">
      <alignment horizontal="left"/>
    </xf>
    <xf numFmtId="0" fontId="22" fillId="0" borderId="1" xfId="9" applyFont="1" applyBorder="1" applyAlignment="1">
      <alignment horizontal="center" wrapText="1"/>
    </xf>
    <xf numFmtId="0" fontId="0" fillId="0" borderId="21" xfId="0" applyBorder="1"/>
    <xf numFmtId="0" fontId="21" fillId="0" borderId="6" xfId="6" applyFont="1">
      <alignment wrapText="1"/>
    </xf>
    <xf numFmtId="0" fontId="0" fillId="0" borderId="6" xfId="0" applyBorder="1"/>
    <xf numFmtId="0" fontId="21" fillId="0" borderId="0" xfId="3" applyFont="1"/>
  </cellXfs>
  <cellStyles count="13">
    <cellStyle name="Body: normal cell" xfId="6" xr:uid="{00000000-0005-0000-0000-000006000000}"/>
    <cellStyle name="Comma" xfId="8" builtinId="3"/>
    <cellStyle name="Font: Calibri, 9pt regular" xfId="3" xr:uid="{00000000-0005-0000-0000-000003000000}"/>
    <cellStyle name="Footnotes: top row" xfId="10" xr:uid="{00000000-0005-0000-0000-00000A000000}"/>
    <cellStyle name="Header: bottom row" xfId="5" xr:uid="{00000000-0005-0000-0000-000005000000}"/>
    <cellStyle name="Hyperlink" xfId="7" builtinId="8"/>
    <cellStyle name="Normal" xfId="0" builtinId="0"/>
    <cellStyle name="Normal 2" xfId="11" xr:uid="{00000000-0005-0000-0000-00000B000000}"/>
    <cellStyle name="Normal 6" xfId="2" xr:uid="{00000000-0005-0000-0000-000002000000}"/>
    <cellStyle name="Parent row" xfId="9" xr:uid="{00000000-0005-0000-0000-000009000000}"/>
    <cellStyle name="Percent" xfId="1" builtinId="5"/>
    <cellStyle name="Percent 2" xfId="12" xr:uid="{00000000-0005-0000-0000-00000C000000}"/>
    <cellStyle name="Table title"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SB6/AppData/Local/Microsoft/Windows/INetCache/Content.Outlook/FB4QUM2C/Copy%20of%20NetQualifyingCapacityList-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pservedio/AppData/Local/Microsoft/Windows/Temporary%20Internet%20Files/Content.Outlook/MU17HYWB/AllRequests_12_9_1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fprojp02.oa.caiso.com/Users/gkatta/AppData/Local/Microsoft/Windows/Temporary%20Internet%20Files/Content.IE5/8WSC1CLA/ResourceAdequacyPlan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Descriptions"/>
      <sheetName val="2019 NQC List"/>
      <sheetName val="2019 Other"/>
      <sheetName val="2019 Technology Factors"/>
      <sheetName val="Lists"/>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rmation"/>
      <sheetName val="Request Type 1-2"/>
      <sheetName val="Request Type 3-5"/>
      <sheetName val="Lists"/>
    </sheetNames>
    <sheetDataSet>
      <sheetData sheetId="0" refreshError="1"/>
      <sheetData sheetId="1" refreshError="1"/>
      <sheetData sheetId="2" refreshError="1"/>
      <sheetData sheetId="3">
        <row r="11">
          <cell r="B11" t="str">
            <v>CAISO System</v>
          </cell>
        </row>
        <row r="12">
          <cell r="B12" t="str">
            <v>Big Creek-Ventura</v>
          </cell>
        </row>
        <row r="13">
          <cell r="B13" t="str">
            <v>Bay Area</v>
          </cell>
        </row>
        <row r="14">
          <cell r="B14" t="str">
            <v>Fresno</v>
          </cell>
        </row>
        <row r="15">
          <cell r="B15" t="str">
            <v>Humboldt</v>
          </cell>
        </row>
        <row r="16">
          <cell r="B16" t="str">
            <v>Kern</v>
          </cell>
        </row>
        <row r="17">
          <cell r="B17" t="str">
            <v>LA Basin</v>
          </cell>
        </row>
        <row r="18">
          <cell r="B18" t="str">
            <v>NCNB</v>
          </cell>
        </row>
        <row r="19">
          <cell r="B19" t="str">
            <v>San Diego-IV</v>
          </cell>
        </row>
        <row r="20">
          <cell r="B20" t="str">
            <v>Sierra</v>
          </cell>
        </row>
        <row r="21">
          <cell r="B21" t="str">
            <v>Stockton</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ources"/>
      <sheetName val="Other"/>
      <sheetName val="Lists"/>
      <sheetName val="Sheet1"/>
      <sheetName val="PRM For Annual RA"/>
      <sheetName val="Flexible RA Capacity"/>
    </sheetNames>
    <sheetDataSet>
      <sheetData sheetId="0" refreshError="1"/>
      <sheetData sheetId="1" refreshError="1"/>
      <sheetData sheetId="2">
        <row r="2">
          <cell r="A2" t="str">
            <v>Monthly</v>
          </cell>
        </row>
        <row r="3">
          <cell r="A3" t="str">
            <v>Annual</v>
          </cell>
        </row>
      </sheetData>
      <sheetData sheetId="3" refreshError="1"/>
      <sheetData sheetId="4" refreshError="1"/>
      <sheetData sheetId="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iso-ne.com/system-planning/system-plans-studies/celt" TargetMode="External"/><Relationship Id="rId3" Type="http://schemas.openxmlformats.org/officeDocument/2006/relationships/hyperlink" Target="https://cdn.misoenergy.org/2020%20Wind%20&amp;%20Solar%20Capacity%20Credit%20Report408144.pdf" TargetMode="External"/><Relationship Id="rId7" Type="http://schemas.openxmlformats.org/officeDocument/2006/relationships/hyperlink" Target="https://www.nyiso.com/documents/20142/2226333/2020-Gold-Book-Final-Public.pdf/9ff426ab-e325-28bc-97cf-106d792593a1" TargetMode="External"/><Relationship Id="rId2" Type="http://schemas.openxmlformats.org/officeDocument/2006/relationships/hyperlink" Target="https://www.spp.org/documents/61025/elcc%20solar%20and%20wind%20accreditation.pdf" TargetMode="External"/><Relationship Id="rId1" Type="http://schemas.openxmlformats.org/officeDocument/2006/relationships/hyperlink" Target="http://www.ercot.com/gridinfo/resource" TargetMode="External"/><Relationship Id="rId6" Type="http://schemas.openxmlformats.org/officeDocument/2006/relationships/hyperlink" Target="https://www.nps.edu/documents/114698888/117879842/Offshore_WInd_Value_Navy_Postgraduate_School_Final.pdf/f4368eea-e0e0-4fba-a925-00f5d365b887?t=1542325871000" TargetMode="External"/><Relationship Id="rId5" Type="http://schemas.openxmlformats.org/officeDocument/2006/relationships/hyperlink" Target="http://www.caiso.com/Documents/2019AnnualReportonMarketIssuesandPerformance.pdf" TargetMode="External"/><Relationship Id="rId4" Type="http://schemas.openxmlformats.org/officeDocument/2006/relationships/hyperlink" Target="https://www.pjm.com/-/media/planning/res-adeq/class-average-wind-capacity-factors.ashx?la=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
  <sheetViews>
    <sheetView workbookViewId="0"/>
  </sheetViews>
  <sheetFormatPr defaultRowHeight="15" x14ac:dyDescent="0.25"/>
  <cols>
    <col min="1" max="1" width="9.28515625" customWidth="1"/>
    <col min="2" max="2" width="50.7109375" bestFit="1" customWidth="1"/>
    <col min="5" max="5" width="49.5703125" customWidth="1"/>
    <col min="8" max="8" width="53.7109375" customWidth="1"/>
  </cols>
  <sheetData>
    <row r="1" spans="1:8" x14ac:dyDescent="0.25">
      <c r="A1" s="1" t="s">
        <v>0</v>
      </c>
      <c r="B1" t="s">
        <v>1</v>
      </c>
    </row>
    <row r="2" spans="1:8" x14ac:dyDescent="0.25">
      <c r="G2" s="3"/>
    </row>
    <row r="3" spans="1:8" x14ac:dyDescent="0.25">
      <c r="A3" s="1" t="s">
        <v>2</v>
      </c>
      <c r="B3" s="2" t="s">
        <v>3</v>
      </c>
      <c r="E3" s="2" t="s">
        <v>4</v>
      </c>
      <c r="H3" s="2" t="s">
        <v>5</v>
      </c>
    </row>
    <row r="4" spans="1:8" x14ac:dyDescent="0.25">
      <c r="B4" t="s">
        <v>6</v>
      </c>
      <c r="E4" t="s">
        <v>7</v>
      </c>
      <c r="H4" s="3" t="s">
        <v>8</v>
      </c>
    </row>
    <row r="5" spans="1:8" x14ac:dyDescent="0.25">
      <c r="B5" s="3">
        <v>2020</v>
      </c>
      <c r="E5" s="3">
        <v>2016</v>
      </c>
      <c r="H5" s="3">
        <v>2019</v>
      </c>
    </row>
    <row r="6" spans="1:8" x14ac:dyDescent="0.25">
      <c r="B6" t="s">
        <v>9</v>
      </c>
      <c r="E6" t="s">
        <v>10</v>
      </c>
      <c r="H6" t="s">
        <v>11</v>
      </c>
    </row>
    <row r="7" spans="1:8" x14ac:dyDescent="0.25">
      <c r="B7" t="s">
        <v>12</v>
      </c>
      <c r="E7" s="12" t="s">
        <v>13</v>
      </c>
      <c r="H7" s="12" t="s">
        <v>14</v>
      </c>
    </row>
    <row r="8" spans="1:8" x14ac:dyDescent="0.25">
      <c r="B8" t="s">
        <v>15</v>
      </c>
    </row>
    <row r="10" spans="1:8" x14ac:dyDescent="0.25">
      <c r="B10" s="2" t="s">
        <v>16</v>
      </c>
      <c r="E10" s="2" t="s">
        <v>17</v>
      </c>
      <c r="H10" s="2" t="s">
        <v>18</v>
      </c>
    </row>
    <row r="11" spans="1:8" x14ac:dyDescent="0.25">
      <c r="B11" t="s">
        <v>19</v>
      </c>
      <c r="E11" s="3" t="s">
        <v>20</v>
      </c>
      <c r="H11" s="103" t="s">
        <v>21</v>
      </c>
    </row>
    <row r="12" spans="1:8" x14ac:dyDescent="0.25">
      <c r="B12" s="3">
        <v>2019</v>
      </c>
      <c r="E12" s="3">
        <v>2017</v>
      </c>
      <c r="H12" s="103">
        <v>2020</v>
      </c>
    </row>
    <row r="13" spans="1:8" x14ac:dyDescent="0.25">
      <c r="B13" t="s">
        <v>22</v>
      </c>
      <c r="E13" t="s">
        <v>23</v>
      </c>
      <c r="H13" t="s">
        <v>24</v>
      </c>
    </row>
    <row r="14" spans="1:8" x14ac:dyDescent="0.25">
      <c r="B14" s="12" t="s">
        <v>25</v>
      </c>
      <c r="E14" s="12" t="s">
        <v>26</v>
      </c>
      <c r="H14" s="12" t="s">
        <v>27</v>
      </c>
    </row>
    <row r="15" spans="1:8" x14ac:dyDescent="0.25">
      <c r="B15" t="s">
        <v>28</v>
      </c>
      <c r="E15" s="3" t="s">
        <v>29</v>
      </c>
      <c r="H15" t="s">
        <v>30</v>
      </c>
    </row>
    <row r="17" spans="1:8" x14ac:dyDescent="0.25">
      <c r="B17" s="2" t="s">
        <v>31</v>
      </c>
      <c r="E17" s="2" t="s">
        <v>32</v>
      </c>
      <c r="H17" s="2" t="s">
        <v>33</v>
      </c>
    </row>
    <row r="18" spans="1:8" x14ac:dyDescent="0.25">
      <c r="B18" t="s">
        <v>34</v>
      </c>
      <c r="E18" t="s">
        <v>35</v>
      </c>
      <c r="H18" s="3" t="s">
        <v>36</v>
      </c>
    </row>
    <row r="19" spans="1:8" x14ac:dyDescent="0.25">
      <c r="B19" s="3">
        <v>2015</v>
      </c>
      <c r="E19" s="3">
        <v>2018</v>
      </c>
      <c r="H19" s="3">
        <v>2020</v>
      </c>
    </row>
    <row r="20" spans="1:8" x14ac:dyDescent="0.25">
      <c r="B20" t="s">
        <v>37</v>
      </c>
      <c r="E20" t="s">
        <v>38</v>
      </c>
      <c r="H20" s="3" t="s">
        <v>39</v>
      </c>
    </row>
    <row r="21" spans="1:8" x14ac:dyDescent="0.25">
      <c r="B21" t="s">
        <v>40</v>
      </c>
      <c r="E21" s="12" t="s">
        <v>41</v>
      </c>
      <c r="H21" s="12" t="s">
        <v>42</v>
      </c>
    </row>
    <row r="22" spans="1:8" x14ac:dyDescent="0.25">
      <c r="B22" t="s">
        <v>43</v>
      </c>
      <c r="E22" t="s">
        <v>44</v>
      </c>
      <c r="H22" s="3" t="s">
        <v>45</v>
      </c>
    </row>
    <row r="24" spans="1:8" x14ac:dyDescent="0.25">
      <c r="H24" s="2" t="s">
        <v>46</v>
      </c>
    </row>
    <row r="25" spans="1:8" x14ac:dyDescent="0.25">
      <c r="H25" s="3" t="s">
        <v>47</v>
      </c>
    </row>
    <row r="26" spans="1:8" x14ac:dyDescent="0.25">
      <c r="A26" s="1" t="s">
        <v>48</v>
      </c>
      <c r="H26" s="3">
        <v>2020</v>
      </c>
    </row>
    <row r="27" spans="1:8" x14ac:dyDescent="0.25">
      <c r="A27" t="s">
        <v>49</v>
      </c>
      <c r="H27" s="3" t="s">
        <v>50</v>
      </c>
    </row>
    <row r="28" spans="1:8" x14ac:dyDescent="0.25">
      <c r="A28" t="s">
        <v>51</v>
      </c>
      <c r="H28" s="12" t="s">
        <v>52</v>
      </c>
    </row>
    <row r="29" spans="1:8" x14ac:dyDescent="0.25">
      <c r="A29" s="1"/>
      <c r="H29" s="3" t="s">
        <v>53</v>
      </c>
    </row>
    <row r="30" spans="1:8" x14ac:dyDescent="0.25">
      <c r="A30" t="s">
        <v>54</v>
      </c>
    </row>
    <row r="31" spans="1:8" x14ac:dyDescent="0.25">
      <c r="A31" t="s">
        <v>55</v>
      </c>
    </row>
    <row r="32" spans="1:8" x14ac:dyDescent="0.25">
      <c r="A32" t="s">
        <v>56</v>
      </c>
    </row>
    <row r="34" spans="1:1" x14ac:dyDescent="0.25">
      <c r="A34" t="s">
        <v>57</v>
      </c>
    </row>
    <row r="35" spans="1:1" x14ac:dyDescent="0.25">
      <c r="A35" t="s">
        <v>58</v>
      </c>
    </row>
    <row r="36" spans="1:1" x14ac:dyDescent="0.25">
      <c r="A36" t="s">
        <v>59</v>
      </c>
    </row>
  </sheetData>
  <dataValidations count="1">
    <dataValidation type="list" allowBlank="1" showInputMessage="1" showErrorMessage="1" sqref="A43" xr:uid="{00000000-0002-0000-0000-000000000000}">
      <formula1>"Summer, Winter"</formula1>
    </dataValidation>
  </dataValidations>
  <hyperlinks>
    <hyperlink ref="E7" r:id="rId1" xr:uid="{00000000-0004-0000-0000-000000000000}"/>
    <hyperlink ref="H7" r:id="rId2" display="https://www.spp.org/documents/61025/elcc solar and wind accreditation.pdf" xr:uid="{00000000-0004-0000-0000-000001000000}"/>
    <hyperlink ref="B14" r:id="rId3" display="https://cdn.misoenergy.org/2020 Wind &amp; Solar Capacity Credit Report408144.pdf" xr:uid="{00000000-0004-0000-0000-000002000000}"/>
    <hyperlink ref="E14" r:id="rId4" xr:uid="{00000000-0004-0000-0000-000003000000}"/>
    <hyperlink ref="H14" r:id="rId5" xr:uid="{00000000-0004-0000-0000-000004000000}"/>
    <hyperlink ref="E21" r:id="rId6" xr:uid="{00000000-0004-0000-0000-000005000000}"/>
    <hyperlink ref="H21" r:id="rId7" xr:uid="{00000000-0004-0000-0000-000006000000}"/>
    <hyperlink ref="H28" r:id="rId8" xr:uid="{00000000-0004-0000-0000-000007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R111"/>
  <sheetViews>
    <sheetView topLeftCell="A7" zoomScaleNormal="100" workbookViewId="0"/>
  </sheetViews>
  <sheetFormatPr defaultRowHeight="15" x14ac:dyDescent="0.25"/>
  <cols>
    <col min="1" max="2" width="9.140625" style="45" customWidth="1"/>
    <col min="3" max="3" width="13.140625" style="45" customWidth="1"/>
    <col min="4" max="4" width="12.42578125" style="45" customWidth="1"/>
    <col min="5" max="5" width="10.28515625" style="45" bestFit="1" customWidth="1"/>
    <col min="6" max="6" width="33.85546875" style="45" bestFit="1" customWidth="1"/>
    <col min="7" max="258" width="9.140625" style="45" customWidth="1"/>
    <col min="259" max="259" width="13.140625" style="45" customWidth="1"/>
    <col min="260" max="260" width="12.42578125" style="45" customWidth="1"/>
    <col min="261" max="261" width="10.28515625" style="45" bestFit="1" customWidth="1"/>
    <col min="262" max="262" width="33.85546875" style="45" bestFit="1" customWidth="1"/>
    <col min="263" max="514" width="9.140625" style="45" customWidth="1"/>
    <col min="515" max="515" width="13.140625" style="45" customWidth="1"/>
    <col min="516" max="516" width="12.42578125" style="45" customWidth="1"/>
    <col min="517" max="517" width="10.28515625" style="45" bestFit="1" customWidth="1"/>
    <col min="518" max="518" width="33.85546875" style="45" bestFit="1" customWidth="1"/>
    <col min="519" max="770" width="9.140625" style="45" customWidth="1"/>
    <col min="771" max="771" width="13.140625" style="45" customWidth="1"/>
    <col min="772" max="772" width="12.42578125" style="45" customWidth="1"/>
    <col min="773" max="773" width="10.28515625" style="45" bestFit="1" customWidth="1"/>
    <col min="774" max="774" width="33.85546875" style="45" bestFit="1" customWidth="1"/>
    <col min="775" max="1026" width="9.140625" style="45" customWidth="1"/>
    <col min="1027" max="1027" width="13.140625" style="45" customWidth="1"/>
    <col min="1028" max="1028" width="12.42578125" style="45" customWidth="1"/>
    <col min="1029" max="1029" width="10.28515625" style="45" bestFit="1" customWidth="1"/>
    <col min="1030" max="1030" width="33.85546875" style="45" bestFit="1" customWidth="1"/>
    <col min="1031" max="1282" width="9.140625" style="45" customWidth="1"/>
    <col min="1283" max="1283" width="13.140625" style="45" customWidth="1"/>
    <col min="1284" max="1284" width="12.42578125" style="45" customWidth="1"/>
    <col min="1285" max="1285" width="10.28515625" style="45" bestFit="1" customWidth="1"/>
    <col min="1286" max="1286" width="33.85546875" style="45" bestFit="1" customWidth="1"/>
    <col min="1287" max="1538" width="9.140625" style="45" customWidth="1"/>
    <col min="1539" max="1539" width="13.140625" style="45" customWidth="1"/>
    <col min="1540" max="1540" width="12.42578125" style="45" customWidth="1"/>
    <col min="1541" max="1541" width="10.28515625" style="45" bestFit="1" customWidth="1"/>
    <col min="1542" max="1542" width="33.85546875" style="45" bestFit="1" customWidth="1"/>
    <col min="1543" max="1794" width="9.140625" style="45" customWidth="1"/>
    <col min="1795" max="1795" width="13.140625" style="45" customWidth="1"/>
    <col min="1796" max="1796" width="12.42578125" style="45" customWidth="1"/>
    <col min="1797" max="1797" width="10.28515625" style="45" bestFit="1" customWidth="1"/>
    <col min="1798" max="1798" width="33.85546875" style="45" bestFit="1" customWidth="1"/>
    <col min="1799" max="2050" width="9.140625" style="45" customWidth="1"/>
    <col min="2051" max="2051" width="13.140625" style="45" customWidth="1"/>
    <col min="2052" max="2052" width="12.42578125" style="45" customWidth="1"/>
    <col min="2053" max="2053" width="10.28515625" style="45" bestFit="1" customWidth="1"/>
    <col min="2054" max="2054" width="33.85546875" style="45" bestFit="1" customWidth="1"/>
    <col min="2055" max="2306" width="9.140625" style="45" customWidth="1"/>
    <col min="2307" max="2307" width="13.140625" style="45" customWidth="1"/>
    <col min="2308" max="2308" width="12.42578125" style="45" customWidth="1"/>
    <col min="2309" max="2309" width="10.28515625" style="45" bestFit="1" customWidth="1"/>
    <col min="2310" max="2310" width="33.85546875" style="45" bestFit="1" customWidth="1"/>
    <col min="2311" max="2562" width="9.140625" style="45" customWidth="1"/>
    <col min="2563" max="2563" width="13.140625" style="45" customWidth="1"/>
    <col min="2564" max="2564" width="12.42578125" style="45" customWidth="1"/>
    <col min="2565" max="2565" width="10.28515625" style="45" bestFit="1" customWidth="1"/>
    <col min="2566" max="2566" width="33.85546875" style="45" bestFit="1" customWidth="1"/>
    <col min="2567" max="2818" width="9.140625" style="45" customWidth="1"/>
    <col min="2819" max="2819" width="13.140625" style="45" customWidth="1"/>
    <col min="2820" max="2820" width="12.42578125" style="45" customWidth="1"/>
    <col min="2821" max="2821" width="10.28515625" style="45" bestFit="1" customWidth="1"/>
    <col min="2822" max="2822" width="33.85546875" style="45" bestFit="1" customWidth="1"/>
    <col min="2823" max="3074" width="9.140625" style="45" customWidth="1"/>
    <col min="3075" max="3075" width="13.140625" style="45" customWidth="1"/>
    <col min="3076" max="3076" width="12.42578125" style="45" customWidth="1"/>
    <col min="3077" max="3077" width="10.28515625" style="45" bestFit="1" customWidth="1"/>
    <col min="3078" max="3078" width="33.85546875" style="45" bestFit="1" customWidth="1"/>
    <col min="3079" max="3330" width="9.140625" style="45" customWidth="1"/>
    <col min="3331" max="3331" width="13.140625" style="45" customWidth="1"/>
    <col min="3332" max="3332" width="12.42578125" style="45" customWidth="1"/>
    <col min="3333" max="3333" width="10.28515625" style="45" bestFit="1" customWidth="1"/>
    <col min="3334" max="3334" width="33.85546875" style="45" bestFit="1" customWidth="1"/>
    <col min="3335" max="3586" width="9.140625" style="45" customWidth="1"/>
    <col min="3587" max="3587" width="13.140625" style="45" customWidth="1"/>
    <col min="3588" max="3588" width="12.42578125" style="45" customWidth="1"/>
    <col min="3589" max="3589" width="10.28515625" style="45" bestFit="1" customWidth="1"/>
    <col min="3590" max="3590" width="33.85546875" style="45" bestFit="1" customWidth="1"/>
    <col min="3591" max="3842" width="9.140625" style="45" customWidth="1"/>
    <col min="3843" max="3843" width="13.140625" style="45" customWidth="1"/>
    <col min="3844" max="3844" width="12.42578125" style="45" customWidth="1"/>
    <col min="3845" max="3845" width="10.28515625" style="45" bestFit="1" customWidth="1"/>
    <col min="3846" max="3846" width="33.85546875" style="45" bestFit="1" customWidth="1"/>
    <col min="3847" max="4098" width="9.140625" style="45" customWidth="1"/>
    <col min="4099" max="4099" width="13.140625" style="45" customWidth="1"/>
    <col min="4100" max="4100" width="12.42578125" style="45" customWidth="1"/>
    <col min="4101" max="4101" width="10.28515625" style="45" bestFit="1" customWidth="1"/>
    <col min="4102" max="4102" width="33.85546875" style="45" bestFit="1" customWidth="1"/>
    <col min="4103" max="4354" width="9.140625" style="45" customWidth="1"/>
    <col min="4355" max="4355" width="13.140625" style="45" customWidth="1"/>
    <col min="4356" max="4356" width="12.42578125" style="45" customWidth="1"/>
    <col min="4357" max="4357" width="10.28515625" style="45" bestFit="1" customWidth="1"/>
    <col min="4358" max="4358" width="33.85546875" style="45" bestFit="1" customWidth="1"/>
    <col min="4359" max="4610" width="9.140625" style="45" customWidth="1"/>
    <col min="4611" max="4611" width="13.140625" style="45" customWidth="1"/>
    <col min="4612" max="4612" width="12.42578125" style="45" customWidth="1"/>
    <col min="4613" max="4613" width="10.28515625" style="45" bestFit="1" customWidth="1"/>
    <col min="4614" max="4614" width="33.85546875" style="45" bestFit="1" customWidth="1"/>
    <col min="4615" max="4866" width="9.140625" style="45" customWidth="1"/>
    <col min="4867" max="4867" width="13.140625" style="45" customWidth="1"/>
    <col min="4868" max="4868" width="12.42578125" style="45" customWidth="1"/>
    <col min="4869" max="4869" width="10.28515625" style="45" bestFit="1" customWidth="1"/>
    <col min="4870" max="4870" width="33.85546875" style="45" bestFit="1" customWidth="1"/>
    <col min="4871" max="5122" width="9.140625" style="45" customWidth="1"/>
    <col min="5123" max="5123" width="13.140625" style="45" customWidth="1"/>
    <col min="5124" max="5124" width="12.42578125" style="45" customWidth="1"/>
    <col min="5125" max="5125" width="10.28515625" style="45" bestFit="1" customWidth="1"/>
    <col min="5126" max="5126" width="33.85546875" style="45" bestFit="1" customWidth="1"/>
    <col min="5127" max="5378" width="9.140625" style="45" customWidth="1"/>
    <col min="5379" max="5379" width="13.140625" style="45" customWidth="1"/>
    <col min="5380" max="5380" width="12.42578125" style="45" customWidth="1"/>
    <col min="5381" max="5381" width="10.28515625" style="45" bestFit="1" customWidth="1"/>
    <col min="5382" max="5382" width="33.85546875" style="45" bestFit="1" customWidth="1"/>
    <col min="5383" max="5634" width="9.140625" style="45" customWidth="1"/>
    <col min="5635" max="5635" width="13.140625" style="45" customWidth="1"/>
    <col min="5636" max="5636" width="12.42578125" style="45" customWidth="1"/>
    <col min="5637" max="5637" width="10.28515625" style="45" bestFit="1" customWidth="1"/>
    <col min="5638" max="5638" width="33.85546875" style="45" bestFit="1" customWidth="1"/>
    <col min="5639" max="5890" width="9.140625" style="45" customWidth="1"/>
    <col min="5891" max="5891" width="13.140625" style="45" customWidth="1"/>
    <col min="5892" max="5892" width="12.42578125" style="45" customWidth="1"/>
    <col min="5893" max="5893" width="10.28515625" style="45" bestFit="1" customWidth="1"/>
    <col min="5894" max="5894" width="33.85546875" style="45" bestFit="1" customWidth="1"/>
    <col min="5895" max="6146" width="9.140625" style="45" customWidth="1"/>
    <col min="6147" max="6147" width="13.140625" style="45" customWidth="1"/>
    <col min="6148" max="6148" width="12.42578125" style="45" customWidth="1"/>
    <col min="6149" max="6149" width="10.28515625" style="45" bestFit="1" customWidth="1"/>
    <col min="6150" max="6150" width="33.85546875" style="45" bestFit="1" customWidth="1"/>
    <col min="6151" max="6402" width="9.140625" style="45" customWidth="1"/>
    <col min="6403" max="6403" width="13.140625" style="45" customWidth="1"/>
    <col min="6404" max="6404" width="12.42578125" style="45" customWidth="1"/>
    <col min="6405" max="6405" width="10.28515625" style="45" bestFit="1" customWidth="1"/>
    <col min="6406" max="6406" width="33.85546875" style="45" bestFit="1" customWidth="1"/>
    <col min="6407" max="6658" width="9.140625" style="45" customWidth="1"/>
    <col min="6659" max="6659" width="13.140625" style="45" customWidth="1"/>
    <col min="6660" max="6660" width="12.42578125" style="45" customWidth="1"/>
    <col min="6661" max="6661" width="10.28515625" style="45" bestFit="1" customWidth="1"/>
    <col min="6662" max="6662" width="33.85546875" style="45" bestFit="1" customWidth="1"/>
    <col min="6663" max="6914" width="9.140625" style="45" customWidth="1"/>
    <col min="6915" max="6915" width="13.140625" style="45" customWidth="1"/>
    <col min="6916" max="6916" width="12.42578125" style="45" customWidth="1"/>
    <col min="6917" max="6917" width="10.28515625" style="45" bestFit="1" customWidth="1"/>
    <col min="6918" max="6918" width="33.85546875" style="45" bestFit="1" customWidth="1"/>
    <col min="6919" max="7170" width="9.140625" style="45" customWidth="1"/>
    <col min="7171" max="7171" width="13.140625" style="45" customWidth="1"/>
    <col min="7172" max="7172" width="12.42578125" style="45" customWidth="1"/>
    <col min="7173" max="7173" width="10.28515625" style="45" bestFit="1" customWidth="1"/>
    <col min="7174" max="7174" width="33.85546875" style="45" bestFit="1" customWidth="1"/>
    <col min="7175" max="7426" width="9.140625" style="45" customWidth="1"/>
    <col min="7427" max="7427" width="13.140625" style="45" customWidth="1"/>
    <col min="7428" max="7428" width="12.42578125" style="45" customWidth="1"/>
    <col min="7429" max="7429" width="10.28515625" style="45" bestFit="1" customWidth="1"/>
    <col min="7430" max="7430" width="33.85546875" style="45" bestFit="1" customWidth="1"/>
    <col min="7431" max="7682" width="9.140625" style="45" customWidth="1"/>
    <col min="7683" max="7683" width="13.140625" style="45" customWidth="1"/>
    <col min="7684" max="7684" width="12.42578125" style="45" customWidth="1"/>
    <col min="7685" max="7685" width="10.28515625" style="45" bestFit="1" customWidth="1"/>
    <col min="7686" max="7686" width="33.85546875" style="45" bestFit="1" customWidth="1"/>
    <col min="7687" max="7938" width="9.140625" style="45" customWidth="1"/>
    <col min="7939" max="7939" width="13.140625" style="45" customWidth="1"/>
    <col min="7940" max="7940" width="12.42578125" style="45" customWidth="1"/>
    <col min="7941" max="7941" width="10.28515625" style="45" bestFit="1" customWidth="1"/>
    <col min="7942" max="7942" width="33.85546875" style="45" bestFit="1" customWidth="1"/>
    <col min="7943" max="8194" width="9.140625" style="45" customWidth="1"/>
    <col min="8195" max="8195" width="13.140625" style="45" customWidth="1"/>
    <col min="8196" max="8196" width="12.42578125" style="45" customWidth="1"/>
    <col min="8197" max="8197" width="10.28515625" style="45" bestFit="1" customWidth="1"/>
    <col min="8198" max="8198" width="33.85546875" style="45" bestFit="1" customWidth="1"/>
    <col min="8199" max="8450" width="9.140625" style="45" customWidth="1"/>
    <col min="8451" max="8451" width="13.140625" style="45" customWidth="1"/>
    <col min="8452" max="8452" width="12.42578125" style="45" customWidth="1"/>
    <col min="8453" max="8453" width="10.28515625" style="45" bestFit="1" customWidth="1"/>
    <col min="8454" max="8454" width="33.85546875" style="45" bestFit="1" customWidth="1"/>
    <col min="8455" max="8706" width="9.140625" style="45" customWidth="1"/>
    <col min="8707" max="8707" width="13.140625" style="45" customWidth="1"/>
    <col min="8708" max="8708" width="12.42578125" style="45" customWidth="1"/>
    <col min="8709" max="8709" width="10.28515625" style="45" bestFit="1" customWidth="1"/>
    <col min="8710" max="8710" width="33.85546875" style="45" bestFit="1" customWidth="1"/>
    <col min="8711" max="8962" width="9.140625" style="45" customWidth="1"/>
    <col min="8963" max="8963" width="13.140625" style="45" customWidth="1"/>
    <col min="8964" max="8964" width="12.42578125" style="45" customWidth="1"/>
    <col min="8965" max="8965" width="10.28515625" style="45" bestFit="1" customWidth="1"/>
    <col min="8966" max="8966" width="33.85546875" style="45" bestFit="1" customWidth="1"/>
    <col min="8967" max="9218" width="9.140625" style="45" customWidth="1"/>
    <col min="9219" max="9219" width="13.140625" style="45" customWidth="1"/>
    <col min="9220" max="9220" width="12.42578125" style="45" customWidth="1"/>
    <col min="9221" max="9221" width="10.28515625" style="45" bestFit="1" customWidth="1"/>
    <col min="9222" max="9222" width="33.85546875" style="45" bestFit="1" customWidth="1"/>
    <col min="9223" max="9474" width="9.140625" style="45" customWidth="1"/>
    <col min="9475" max="9475" width="13.140625" style="45" customWidth="1"/>
    <col min="9476" max="9476" width="12.42578125" style="45" customWidth="1"/>
    <col min="9477" max="9477" width="10.28515625" style="45" bestFit="1" customWidth="1"/>
    <col min="9478" max="9478" width="33.85546875" style="45" bestFit="1" customWidth="1"/>
    <col min="9479" max="9730" width="9.140625" style="45" customWidth="1"/>
    <col min="9731" max="9731" width="13.140625" style="45" customWidth="1"/>
    <col min="9732" max="9732" width="12.42578125" style="45" customWidth="1"/>
    <col min="9733" max="9733" width="10.28515625" style="45" bestFit="1" customWidth="1"/>
    <col min="9734" max="9734" width="33.85546875" style="45" bestFit="1" customWidth="1"/>
    <col min="9735" max="9986" width="9.140625" style="45" customWidth="1"/>
    <col min="9987" max="9987" width="13.140625" style="45" customWidth="1"/>
    <col min="9988" max="9988" width="12.42578125" style="45" customWidth="1"/>
    <col min="9989" max="9989" width="10.28515625" style="45" bestFit="1" customWidth="1"/>
    <col min="9990" max="9990" width="33.85546875" style="45" bestFit="1" customWidth="1"/>
    <col min="9991" max="10242" width="9.140625" style="45" customWidth="1"/>
    <col min="10243" max="10243" width="13.140625" style="45" customWidth="1"/>
    <col min="10244" max="10244" width="12.42578125" style="45" customWidth="1"/>
    <col min="10245" max="10245" width="10.28515625" style="45" bestFit="1" customWidth="1"/>
    <col min="10246" max="10246" width="33.85546875" style="45" bestFit="1" customWidth="1"/>
    <col min="10247" max="10498" width="9.140625" style="45" customWidth="1"/>
    <col min="10499" max="10499" width="13.140625" style="45" customWidth="1"/>
    <col min="10500" max="10500" width="12.42578125" style="45" customWidth="1"/>
    <col min="10501" max="10501" width="10.28515625" style="45" bestFit="1" customWidth="1"/>
    <col min="10502" max="10502" width="33.85546875" style="45" bestFit="1" customWidth="1"/>
    <col min="10503" max="10754" width="9.140625" style="45" customWidth="1"/>
    <col min="10755" max="10755" width="13.140625" style="45" customWidth="1"/>
    <col min="10756" max="10756" width="12.42578125" style="45" customWidth="1"/>
    <col min="10757" max="10757" width="10.28515625" style="45" bestFit="1" customWidth="1"/>
    <col min="10758" max="10758" width="33.85546875" style="45" bestFit="1" customWidth="1"/>
    <col min="10759" max="11010" width="9.140625" style="45" customWidth="1"/>
    <col min="11011" max="11011" width="13.140625" style="45" customWidth="1"/>
    <col min="11012" max="11012" width="12.42578125" style="45" customWidth="1"/>
    <col min="11013" max="11013" width="10.28515625" style="45" bestFit="1" customWidth="1"/>
    <col min="11014" max="11014" width="33.85546875" style="45" bestFit="1" customWidth="1"/>
    <col min="11015" max="11266" width="9.140625" style="45" customWidth="1"/>
    <col min="11267" max="11267" width="13.140625" style="45" customWidth="1"/>
    <col min="11268" max="11268" width="12.42578125" style="45" customWidth="1"/>
    <col min="11269" max="11269" width="10.28515625" style="45" bestFit="1" customWidth="1"/>
    <col min="11270" max="11270" width="33.85546875" style="45" bestFit="1" customWidth="1"/>
    <col min="11271" max="11522" width="9.140625" style="45" customWidth="1"/>
    <col min="11523" max="11523" width="13.140625" style="45" customWidth="1"/>
    <col min="11524" max="11524" width="12.42578125" style="45" customWidth="1"/>
    <col min="11525" max="11525" width="10.28515625" style="45" bestFit="1" customWidth="1"/>
    <col min="11526" max="11526" width="33.85546875" style="45" bestFit="1" customWidth="1"/>
    <col min="11527" max="11778" width="9.140625" style="45" customWidth="1"/>
    <col min="11779" max="11779" width="13.140625" style="45" customWidth="1"/>
    <col min="11780" max="11780" width="12.42578125" style="45" customWidth="1"/>
    <col min="11781" max="11781" width="10.28515625" style="45" bestFit="1" customWidth="1"/>
    <col min="11782" max="11782" width="33.85546875" style="45" bestFit="1" customWidth="1"/>
    <col min="11783" max="12034" width="9.140625" style="45" customWidth="1"/>
    <col min="12035" max="12035" width="13.140625" style="45" customWidth="1"/>
    <col min="12036" max="12036" width="12.42578125" style="45" customWidth="1"/>
    <col min="12037" max="12037" width="10.28515625" style="45" bestFit="1" customWidth="1"/>
    <col min="12038" max="12038" width="33.85546875" style="45" bestFit="1" customWidth="1"/>
    <col min="12039" max="12290" width="9.140625" style="45" customWidth="1"/>
    <col min="12291" max="12291" width="13.140625" style="45" customWidth="1"/>
    <col min="12292" max="12292" width="12.42578125" style="45" customWidth="1"/>
    <col min="12293" max="12293" width="10.28515625" style="45" bestFit="1" customWidth="1"/>
    <col min="12294" max="12294" width="33.85546875" style="45" bestFit="1" customWidth="1"/>
    <col min="12295" max="12546" width="9.140625" style="45" customWidth="1"/>
    <col min="12547" max="12547" width="13.140625" style="45" customWidth="1"/>
    <col min="12548" max="12548" width="12.42578125" style="45" customWidth="1"/>
    <col min="12549" max="12549" width="10.28515625" style="45" bestFit="1" customWidth="1"/>
    <col min="12550" max="12550" width="33.85546875" style="45" bestFit="1" customWidth="1"/>
    <col min="12551" max="12802" width="9.140625" style="45" customWidth="1"/>
    <col min="12803" max="12803" width="13.140625" style="45" customWidth="1"/>
    <col min="12804" max="12804" width="12.42578125" style="45" customWidth="1"/>
    <col min="12805" max="12805" width="10.28515625" style="45" bestFit="1" customWidth="1"/>
    <col min="12806" max="12806" width="33.85546875" style="45" bestFit="1" customWidth="1"/>
    <col min="12807" max="13058" width="9.140625" style="45" customWidth="1"/>
    <col min="13059" max="13059" width="13.140625" style="45" customWidth="1"/>
    <col min="13060" max="13060" width="12.42578125" style="45" customWidth="1"/>
    <col min="13061" max="13061" width="10.28515625" style="45" bestFit="1" customWidth="1"/>
    <col min="13062" max="13062" width="33.85546875" style="45" bestFit="1" customWidth="1"/>
    <col min="13063" max="13314" width="9.140625" style="45" customWidth="1"/>
    <col min="13315" max="13315" width="13.140625" style="45" customWidth="1"/>
    <col min="13316" max="13316" width="12.42578125" style="45" customWidth="1"/>
    <col min="13317" max="13317" width="10.28515625" style="45" bestFit="1" customWidth="1"/>
    <col min="13318" max="13318" width="33.85546875" style="45" bestFit="1" customWidth="1"/>
    <col min="13319" max="13570" width="9.140625" style="45" customWidth="1"/>
    <col min="13571" max="13571" width="13.140625" style="45" customWidth="1"/>
    <col min="13572" max="13572" width="12.42578125" style="45" customWidth="1"/>
    <col min="13573" max="13573" width="10.28515625" style="45" bestFit="1" customWidth="1"/>
    <col min="13574" max="13574" width="33.85546875" style="45" bestFit="1" customWidth="1"/>
    <col min="13575" max="13826" width="9.140625" style="45" customWidth="1"/>
    <col min="13827" max="13827" width="13.140625" style="45" customWidth="1"/>
    <col min="13828" max="13828" width="12.42578125" style="45" customWidth="1"/>
    <col min="13829" max="13829" width="10.28515625" style="45" bestFit="1" customWidth="1"/>
    <col min="13830" max="13830" width="33.85546875" style="45" bestFit="1" customWidth="1"/>
    <col min="13831" max="14082" width="9.140625" style="45" customWidth="1"/>
    <col min="14083" max="14083" width="13.140625" style="45" customWidth="1"/>
    <col min="14084" max="14084" width="12.42578125" style="45" customWidth="1"/>
    <col min="14085" max="14085" width="10.28515625" style="45" bestFit="1" customWidth="1"/>
    <col min="14086" max="14086" width="33.85546875" style="45" bestFit="1" customWidth="1"/>
    <col min="14087" max="14338" width="9.140625" style="45" customWidth="1"/>
    <col min="14339" max="14339" width="13.140625" style="45" customWidth="1"/>
    <col min="14340" max="14340" width="12.42578125" style="45" customWidth="1"/>
    <col min="14341" max="14341" width="10.28515625" style="45" bestFit="1" customWidth="1"/>
    <col min="14342" max="14342" width="33.85546875" style="45" bestFit="1" customWidth="1"/>
    <col min="14343" max="14594" width="9.140625" style="45" customWidth="1"/>
    <col min="14595" max="14595" width="13.140625" style="45" customWidth="1"/>
    <col min="14596" max="14596" width="12.42578125" style="45" customWidth="1"/>
    <col min="14597" max="14597" width="10.28515625" style="45" bestFit="1" customWidth="1"/>
    <col min="14598" max="14598" width="33.85546875" style="45" bestFit="1" customWidth="1"/>
    <col min="14599" max="14850" width="9.140625" style="45" customWidth="1"/>
    <col min="14851" max="14851" width="13.140625" style="45" customWidth="1"/>
    <col min="14852" max="14852" width="12.42578125" style="45" customWidth="1"/>
    <col min="14853" max="14853" width="10.28515625" style="45" bestFit="1" customWidth="1"/>
    <col min="14854" max="14854" width="33.85546875" style="45" bestFit="1" customWidth="1"/>
    <col min="14855" max="15106" width="9.140625" style="45" customWidth="1"/>
    <col min="15107" max="15107" width="13.140625" style="45" customWidth="1"/>
    <col min="15108" max="15108" width="12.42578125" style="45" customWidth="1"/>
    <col min="15109" max="15109" width="10.28515625" style="45" bestFit="1" customWidth="1"/>
    <col min="15110" max="15110" width="33.85546875" style="45" bestFit="1" customWidth="1"/>
    <col min="15111" max="15362" width="9.140625" style="45" customWidth="1"/>
    <col min="15363" max="15363" width="13.140625" style="45" customWidth="1"/>
    <col min="15364" max="15364" width="12.42578125" style="45" customWidth="1"/>
    <col min="15365" max="15365" width="10.28515625" style="45" bestFit="1" customWidth="1"/>
    <col min="15366" max="15366" width="33.85546875" style="45" bestFit="1" customWidth="1"/>
    <col min="15367" max="15618" width="9.140625" style="45" customWidth="1"/>
    <col min="15619" max="15619" width="13.140625" style="45" customWidth="1"/>
    <col min="15620" max="15620" width="12.42578125" style="45" customWidth="1"/>
    <col min="15621" max="15621" width="10.28515625" style="45" bestFit="1" customWidth="1"/>
    <col min="15622" max="15622" width="33.85546875" style="45" bestFit="1" customWidth="1"/>
    <col min="15623" max="15874" width="9.140625" style="45" customWidth="1"/>
    <col min="15875" max="15875" width="13.140625" style="45" customWidth="1"/>
    <col min="15876" max="15876" width="12.42578125" style="45" customWidth="1"/>
    <col min="15877" max="15877" width="10.28515625" style="45" bestFit="1" customWidth="1"/>
    <col min="15878" max="15878" width="33.85546875" style="45" bestFit="1" customWidth="1"/>
    <col min="15879" max="16130" width="9.140625" style="45" customWidth="1"/>
    <col min="16131" max="16131" width="13.140625" style="45" customWidth="1"/>
    <col min="16132" max="16132" width="12.42578125" style="45" customWidth="1"/>
    <col min="16133" max="16133" width="10.28515625" style="45" bestFit="1" customWidth="1"/>
    <col min="16134" max="16134" width="33.85546875" style="45" bestFit="1" customWidth="1"/>
    <col min="16135" max="16384" width="9.140625" style="45" customWidth="1"/>
  </cols>
  <sheetData>
    <row r="3" spans="1:18" ht="18" customHeight="1" x14ac:dyDescent="0.25">
      <c r="A3" s="44" t="s">
        <v>60</v>
      </c>
      <c r="D3" s="46"/>
      <c r="E3" s="46"/>
      <c r="F3" s="46"/>
    </row>
    <row r="4" spans="1:18" ht="15.75" customHeight="1" x14ac:dyDescent="0.25">
      <c r="A4" s="47" t="s">
        <v>61</v>
      </c>
      <c r="D4" s="46"/>
      <c r="E4" s="46"/>
      <c r="F4" s="46"/>
    </row>
    <row r="5" spans="1:18" ht="15.75" customHeight="1" x14ac:dyDescent="0.25">
      <c r="A5" s="47" t="s">
        <v>62</v>
      </c>
      <c r="D5" s="46"/>
      <c r="E5" s="46"/>
      <c r="F5" s="46"/>
    </row>
    <row r="6" spans="1:18" x14ac:dyDescent="0.25">
      <c r="D6" s="46"/>
      <c r="E6" s="46"/>
      <c r="F6" s="46"/>
    </row>
    <row r="7" spans="1:18" x14ac:dyDescent="0.25">
      <c r="D7" s="46"/>
      <c r="E7" s="46"/>
      <c r="F7" s="46"/>
    </row>
    <row r="8" spans="1:18" ht="15.75" customHeight="1" x14ac:dyDescent="0.25">
      <c r="B8" s="48" t="s">
        <v>63</v>
      </c>
      <c r="C8" s="49"/>
      <c r="D8" s="49"/>
      <c r="E8" s="49"/>
      <c r="F8" s="50"/>
    </row>
    <row r="9" spans="1:18" ht="15.75" customHeight="1" x14ac:dyDescent="0.25">
      <c r="B9" s="51" t="s">
        <v>64</v>
      </c>
      <c r="C9" s="111" t="s">
        <v>65</v>
      </c>
      <c r="D9" s="109"/>
      <c r="E9" s="52"/>
      <c r="F9" s="53"/>
    </row>
    <row r="10" spans="1:18" ht="15.75" customHeight="1" x14ac:dyDescent="0.25">
      <c r="B10" s="54">
        <v>1</v>
      </c>
      <c r="C10" s="108">
        <v>0.04</v>
      </c>
      <c r="D10" s="109"/>
      <c r="E10" s="55"/>
      <c r="F10" s="53"/>
    </row>
    <row r="11" spans="1:18" ht="15.75" customHeight="1" x14ac:dyDescent="0.25">
      <c r="B11" s="54">
        <v>2</v>
      </c>
      <c r="C11" s="108">
        <v>0.03</v>
      </c>
      <c r="D11" s="109"/>
      <c r="E11" s="55"/>
      <c r="F11" s="53"/>
      <c r="G11" s="55"/>
      <c r="H11" s="55"/>
      <c r="I11" s="55"/>
      <c r="J11" s="55"/>
      <c r="K11" s="55"/>
      <c r="L11" s="55"/>
      <c r="M11" s="55"/>
      <c r="N11" s="55"/>
      <c r="O11" s="55"/>
      <c r="P11" s="55"/>
      <c r="Q11" s="55"/>
      <c r="R11" s="55"/>
    </row>
    <row r="12" spans="1:18" ht="15.75" customHeight="1" x14ac:dyDescent="0.25">
      <c r="B12" s="54">
        <v>3</v>
      </c>
      <c r="C12" s="108">
        <v>0.18</v>
      </c>
      <c r="D12" s="109"/>
      <c r="E12" s="55"/>
      <c r="F12" s="53"/>
    </row>
    <row r="13" spans="1:18" ht="15.75" customHeight="1" x14ac:dyDescent="0.25">
      <c r="B13" s="54">
        <v>4</v>
      </c>
      <c r="C13" s="108">
        <v>0.15</v>
      </c>
      <c r="D13" s="109"/>
      <c r="E13" s="55"/>
      <c r="F13" s="53"/>
    </row>
    <row r="14" spans="1:18" ht="15.75" customHeight="1" x14ac:dyDescent="0.25">
      <c r="B14" s="54">
        <v>5</v>
      </c>
      <c r="C14" s="108">
        <v>0.16</v>
      </c>
      <c r="D14" s="109"/>
      <c r="E14" s="55"/>
      <c r="F14" s="53"/>
    </row>
    <row r="15" spans="1:18" ht="15.75" customHeight="1" x14ac:dyDescent="0.25">
      <c r="B15" s="54">
        <v>6</v>
      </c>
      <c r="C15" s="108">
        <v>0.31</v>
      </c>
      <c r="D15" s="109"/>
      <c r="E15" s="55"/>
      <c r="F15" s="53"/>
    </row>
    <row r="16" spans="1:18" ht="15.75" customHeight="1" x14ac:dyDescent="0.25">
      <c r="B16" s="54">
        <v>7</v>
      </c>
      <c r="C16" s="108">
        <v>0.39</v>
      </c>
      <c r="D16" s="109"/>
      <c r="E16" s="55"/>
      <c r="F16" s="53"/>
    </row>
    <row r="17" spans="2:12" ht="15.75" customHeight="1" x14ac:dyDescent="0.25">
      <c r="B17" s="54">
        <v>8</v>
      </c>
      <c r="C17" s="108">
        <v>0.27</v>
      </c>
      <c r="D17" s="109"/>
      <c r="E17" s="55"/>
      <c r="F17" s="53"/>
    </row>
    <row r="18" spans="2:12" ht="15.75" customHeight="1" x14ac:dyDescent="0.25">
      <c r="B18" s="54">
        <v>9</v>
      </c>
      <c r="C18" s="108">
        <v>0.14000000000000001</v>
      </c>
      <c r="D18" s="109"/>
      <c r="E18" s="55"/>
      <c r="F18" s="53"/>
    </row>
    <row r="19" spans="2:12" ht="15.75" customHeight="1" x14ac:dyDescent="0.25">
      <c r="B19" s="54">
        <v>10</v>
      </c>
      <c r="C19" s="108">
        <v>0.02</v>
      </c>
      <c r="D19" s="109"/>
      <c r="E19" s="55"/>
      <c r="F19" s="53"/>
    </row>
    <row r="20" spans="2:12" ht="15.75" customHeight="1" x14ac:dyDescent="0.25">
      <c r="B20" s="54">
        <v>11</v>
      </c>
      <c r="C20" s="108">
        <v>0.02</v>
      </c>
      <c r="D20" s="109"/>
      <c r="E20" s="55"/>
      <c r="F20" s="53"/>
      <c r="L20" s="55"/>
    </row>
    <row r="21" spans="2:12" ht="15.75" customHeight="1" x14ac:dyDescent="0.25">
      <c r="B21" s="54">
        <v>12</v>
      </c>
      <c r="C21" s="108">
        <v>0</v>
      </c>
      <c r="D21" s="109"/>
      <c r="E21" s="55"/>
      <c r="F21" s="53"/>
    </row>
    <row r="22" spans="2:12" x14ac:dyDescent="0.25">
      <c r="B22" s="53"/>
      <c r="C22" s="56"/>
      <c r="D22" s="56"/>
      <c r="E22" s="56"/>
      <c r="F22" s="53"/>
    </row>
    <row r="23" spans="2:12" ht="15.75" customHeight="1" x14ac:dyDescent="0.25">
      <c r="B23" s="54"/>
      <c r="C23" s="57"/>
      <c r="D23" s="57"/>
      <c r="E23" s="58"/>
      <c r="F23" s="57"/>
    </row>
    <row r="24" spans="2:12" ht="15.75" customHeight="1" x14ac:dyDescent="0.25">
      <c r="B24" s="48" t="s">
        <v>66</v>
      </c>
      <c r="C24" s="59"/>
      <c r="D24" s="59"/>
      <c r="E24" s="59"/>
      <c r="F24" s="60"/>
    </row>
    <row r="25" spans="2:12" ht="15.75" customHeight="1" x14ac:dyDescent="0.25">
      <c r="B25" s="51" t="s">
        <v>64</v>
      </c>
      <c r="C25" s="111" t="s">
        <v>67</v>
      </c>
      <c r="D25" s="109"/>
      <c r="E25" s="52"/>
      <c r="F25" s="53"/>
    </row>
    <row r="26" spans="2:12" ht="15.75" customHeight="1" x14ac:dyDescent="0.25">
      <c r="B26" s="54">
        <v>1</v>
      </c>
      <c r="C26" s="108">
        <v>0.14000000000000001</v>
      </c>
      <c r="D26" s="109"/>
      <c r="E26" s="58"/>
      <c r="F26" s="53"/>
    </row>
    <row r="27" spans="2:12" ht="15.75" customHeight="1" x14ac:dyDescent="0.25">
      <c r="B27" s="54">
        <v>2</v>
      </c>
      <c r="C27" s="108">
        <v>0.12</v>
      </c>
      <c r="D27" s="109"/>
      <c r="E27" s="58"/>
      <c r="F27" s="53"/>
    </row>
    <row r="28" spans="2:12" ht="15.75" customHeight="1" x14ac:dyDescent="0.25">
      <c r="B28" s="54">
        <v>3</v>
      </c>
      <c r="C28" s="108">
        <v>0.28000000000000003</v>
      </c>
      <c r="D28" s="109"/>
      <c r="E28" s="58"/>
      <c r="F28" s="53"/>
    </row>
    <row r="29" spans="2:12" ht="15.75" customHeight="1" x14ac:dyDescent="0.25">
      <c r="B29" s="54">
        <v>4</v>
      </c>
      <c r="C29" s="108">
        <v>0.25</v>
      </c>
      <c r="D29" s="109"/>
      <c r="E29" s="58"/>
      <c r="F29" s="53"/>
    </row>
    <row r="30" spans="2:12" ht="15.75" customHeight="1" x14ac:dyDescent="0.25">
      <c r="B30" s="54">
        <v>5</v>
      </c>
      <c r="C30" s="108">
        <v>0.25</v>
      </c>
      <c r="D30" s="109"/>
      <c r="E30" s="58"/>
      <c r="F30" s="53"/>
    </row>
    <row r="31" spans="2:12" ht="15.75" customHeight="1" x14ac:dyDescent="0.25">
      <c r="B31" s="54">
        <v>6</v>
      </c>
      <c r="C31" s="108">
        <v>0.33</v>
      </c>
      <c r="D31" s="109"/>
      <c r="E31" s="58"/>
      <c r="F31" s="53"/>
    </row>
    <row r="32" spans="2:12" ht="15.75" customHeight="1" x14ac:dyDescent="0.25">
      <c r="B32" s="54">
        <v>7</v>
      </c>
      <c r="C32" s="108">
        <v>0.23</v>
      </c>
      <c r="D32" s="109"/>
      <c r="E32" s="58"/>
      <c r="F32" s="53"/>
    </row>
    <row r="33" spans="2:6" ht="15.75" customHeight="1" x14ac:dyDescent="0.25">
      <c r="B33" s="54">
        <v>8</v>
      </c>
      <c r="C33" s="108">
        <v>0.21</v>
      </c>
      <c r="D33" s="109"/>
      <c r="E33" s="58"/>
      <c r="F33" s="53"/>
    </row>
    <row r="34" spans="2:6" ht="15.75" customHeight="1" x14ac:dyDescent="0.25">
      <c r="B34" s="54">
        <v>9</v>
      </c>
      <c r="C34" s="108">
        <v>0.15</v>
      </c>
      <c r="D34" s="109"/>
      <c r="E34" s="58"/>
      <c r="F34" s="53"/>
    </row>
    <row r="35" spans="2:6" ht="15.75" customHeight="1" x14ac:dyDescent="0.25">
      <c r="B35" s="54">
        <v>10</v>
      </c>
      <c r="C35" s="108">
        <v>0.08</v>
      </c>
      <c r="D35" s="109"/>
      <c r="E35" s="58"/>
      <c r="F35" s="53"/>
    </row>
    <row r="36" spans="2:6" ht="15.75" customHeight="1" x14ac:dyDescent="0.25">
      <c r="B36" s="54">
        <v>11</v>
      </c>
      <c r="C36" s="108">
        <v>0.12</v>
      </c>
      <c r="D36" s="109"/>
      <c r="E36" s="58"/>
      <c r="F36" s="53"/>
    </row>
    <row r="37" spans="2:6" ht="15.75" customHeight="1" x14ac:dyDescent="0.25">
      <c r="B37" s="54">
        <v>12</v>
      </c>
      <c r="C37" s="108">
        <v>0.13</v>
      </c>
      <c r="D37" s="109"/>
      <c r="E37" s="58"/>
      <c r="F37" s="53"/>
    </row>
    <row r="38" spans="2:6" ht="15.75" customHeight="1" x14ac:dyDescent="0.25">
      <c r="B38" s="54"/>
      <c r="C38" s="61"/>
      <c r="D38" s="61"/>
      <c r="E38" s="58"/>
      <c r="F38" s="53"/>
    </row>
    <row r="39" spans="2:6" ht="15.75" customHeight="1" x14ac:dyDescent="0.25">
      <c r="B39" s="54"/>
      <c r="C39" s="61"/>
      <c r="D39" s="61"/>
      <c r="E39" s="58"/>
      <c r="F39" s="53"/>
    </row>
    <row r="40" spans="2:6" ht="15.75" customHeight="1" x14ac:dyDescent="0.25">
      <c r="B40" s="54"/>
      <c r="C40" s="61"/>
      <c r="D40" s="61"/>
      <c r="E40" s="58"/>
      <c r="F40" s="53"/>
    </row>
    <row r="41" spans="2:6" ht="15.75" customHeight="1" x14ac:dyDescent="0.25">
      <c r="B41" s="54"/>
      <c r="C41" s="61"/>
      <c r="D41" s="61"/>
      <c r="E41" s="58"/>
      <c r="F41" s="53"/>
    </row>
    <row r="42" spans="2:6" ht="15.75" customHeight="1" x14ac:dyDescent="0.25">
      <c r="B42" s="54"/>
      <c r="C42" s="61"/>
      <c r="D42" s="61"/>
      <c r="E42" s="58"/>
      <c r="F42" s="53"/>
    </row>
    <row r="43" spans="2:6" ht="15.75" customHeight="1" x14ac:dyDescent="0.25">
      <c r="B43" s="54"/>
      <c r="C43" s="61"/>
      <c r="D43" s="61"/>
      <c r="E43" s="58"/>
      <c r="F43" s="53"/>
    </row>
    <row r="44" spans="2:6" ht="15.75" customHeight="1" x14ac:dyDescent="0.25">
      <c r="B44" s="54"/>
      <c r="C44" s="61"/>
      <c r="D44" s="61"/>
      <c r="E44" s="58"/>
      <c r="F44" s="53"/>
    </row>
    <row r="45" spans="2:6" ht="15.75" customHeight="1" x14ac:dyDescent="0.25">
      <c r="B45" s="54"/>
      <c r="C45" s="61"/>
      <c r="D45" s="61"/>
      <c r="E45" s="58"/>
      <c r="F45" s="53"/>
    </row>
    <row r="46" spans="2:6" ht="15.75" customHeight="1" x14ac:dyDescent="0.25">
      <c r="B46" s="53"/>
      <c r="C46" s="110"/>
      <c r="D46" s="109"/>
      <c r="E46" s="56"/>
      <c r="F46" s="56"/>
    </row>
    <row r="47" spans="2:6" ht="15.75" customHeight="1" x14ac:dyDescent="0.25">
      <c r="B47" s="48" t="s">
        <v>68</v>
      </c>
      <c r="C47" s="49"/>
      <c r="D47" s="49"/>
      <c r="E47" s="49"/>
      <c r="F47" s="50"/>
    </row>
    <row r="48" spans="2:6" ht="15.75" customHeight="1" x14ac:dyDescent="0.25">
      <c r="B48" s="51" t="s">
        <v>64</v>
      </c>
      <c r="C48" s="51">
        <v>2016</v>
      </c>
      <c r="D48" s="51">
        <v>2017</v>
      </c>
      <c r="E48" s="51">
        <v>2018</v>
      </c>
      <c r="F48" s="62" t="s">
        <v>69</v>
      </c>
    </row>
    <row r="49" spans="2:6" ht="15.75" customHeight="1" x14ac:dyDescent="0.25">
      <c r="B49" s="54">
        <v>1</v>
      </c>
      <c r="C49" s="63">
        <v>0.87</v>
      </c>
      <c r="D49" s="63">
        <v>0.73</v>
      </c>
      <c r="E49" s="63">
        <v>0.85</v>
      </c>
      <c r="F49" s="63">
        <v>0.82</v>
      </c>
    </row>
    <row r="50" spans="2:6" ht="15.75" customHeight="1" x14ac:dyDescent="0.25">
      <c r="B50" s="54">
        <v>2</v>
      </c>
      <c r="C50" s="63">
        <v>0.91</v>
      </c>
      <c r="D50" s="63">
        <v>0.85</v>
      </c>
      <c r="E50" s="63">
        <v>0.84</v>
      </c>
      <c r="F50" s="63">
        <v>0.86</v>
      </c>
    </row>
    <row r="51" spans="2:6" ht="15.75" customHeight="1" x14ac:dyDescent="0.25">
      <c r="B51" s="54">
        <v>3</v>
      </c>
      <c r="C51" s="63">
        <v>0.84</v>
      </c>
      <c r="D51" s="63">
        <v>0.82</v>
      </c>
      <c r="E51" s="63">
        <v>0.86</v>
      </c>
      <c r="F51" s="63">
        <v>0.84</v>
      </c>
    </row>
    <row r="52" spans="2:6" ht="15.75" customHeight="1" x14ac:dyDescent="0.25">
      <c r="B52" s="54">
        <v>4</v>
      </c>
      <c r="C52" s="63">
        <v>0.76</v>
      </c>
      <c r="D52" s="63">
        <v>0.74</v>
      </c>
      <c r="E52" s="63">
        <v>0.79</v>
      </c>
      <c r="F52" s="63">
        <v>0.76</v>
      </c>
    </row>
    <row r="53" spans="2:6" ht="15.75" customHeight="1" x14ac:dyDescent="0.25">
      <c r="B53" s="54">
        <v>5</v>
      </c>
      <c r="C53" s="63">
        <v>0.84</v>
      </c>
      <c r="D53" s="63">
        <v>0.83</v>
      </c>
      <c r="E53" s="63">
        <v>0.83</v>
      </c>
      <c r="F53" s="63">
        <v>0.83</v>
      </c>
    </row>
    <row r="54" spans="2:6" ht="15.75" customHeight="1" x14ac:dyDescent="0.25">
      <c r="B54" s="54">
        <v>6</v>
      </c>
      <c r="C54" s="63">
        <v>0.92</v>
      </c>
      <c r="D54" s="63">
        <v>0.88</v>
      </c>
      <c r="E54" s="63">
        <v>0.86</v>
      </c>
      <c r="F54" s="63">
        <v>0.89</v>
      </c>
    </row>
    <row r="55" spans="2:6" ht="15.75" customHeight="1" x14ac:dyDescent="0.25">
      <c r="B55" s="54">
        <v>7</v>
      </c>
      <c r="C55" s="63">
        <v>0.91</v>
      </c>
      <c r="D55" s="63">
        <v>0.83</v>
      </c>
      <c r="E55" s="63">
        <v>0.87</v>
      </c>
      <c r="F55" s="63">
        <v>0.87</v>
      </c>
    </row>
    <row r="56" spans="2:6" ht="15.75" customHeight="1" x14ac:dyDescent="0.25">
      <c r="B56" s="54">
        <v>8</v>
      </c>
      <c r="C56" s="63">
        <v>0.91</v>
      </c>
      <c r="D56" s="63">
        <v>0.9</v>
      </c>
      <c r="E56" s="63">
        <v>0.89</v>
      </c>
      <c r="F56" s="63">
        <v>0.9</v>
      </c>
    </row>
    <row r="57" spans="2:6" ht="15.75" customHeight="1" x14ac:dyDescent="0.25">
      <c r="B57" s="54">
        <v>9</v>
      </c>
      <c r="C57" s="63">
        <v>0.92</v>
      </c>
      <c r="D57" s="63">
        <v>0.87</v>
      </c>
      <c r="E57" s="63">
        <v>0.9</v>
      </c>
      <c r="F57" s="63">
        <v>0.9</v>
      </c>
    </row>
    <row r="58" spans="2:6" ht="15.75" customHeight="1" x14ac:dyDescent="0.25">
      <c r="B58" s="54">
        <v>10</v>
      </c>
      <c r="C58" s="63">
        <v>0.8</v>
      </c>
      <c r="D58" s="63">
        <v>0.78</v>
      </c>
      <c r="E58" s="63">
        <v>0.84</v>
      </c>
      <c r="F58" s="63">
        <v>0.81</v>
      </c>
    </row>
    <row r="59" spans="2:6" ht="15.75" customHeight="1" x14ac:dyDescent="0.25">
      <c r="B59" s="54">
        <v>11</v>
      </c>
      <c r="C59" s="63">
        <v>0.86</v>
      </c>
      <c r="D59" s="63">
        <v>0.83</v>
      </c>
      <c r="E59" s="63">
        <v>0.85</v>
      </c>
      <c r="F59" s="63">
        <v>0.85</v>
      </c>
    </row>
    <row r="60" spans="2:6" ht="15.75" customHeight="1" x14ac:dyDescent="0.25">
      <c r="B60" s="54">
        <v>12</v>
      </c>
      <c r="C60" s="63">
        <v>0.88</v>
      </c>
      <c r="D60" s="63">
        <v>0.85</v>
      </c>
      <c r="E60" s="63">
        <v>0.86</v>
      </c>
      <c r="F60" s="63">
        <v>0.86</v>
      </c>
    </row>
    <row r="61" spans="2:6" x14ac:dyDescent="0.25">
      <c r="B61" s="53"/>
      <c r="C61" s="53"/>
      <c r="D61" s="56"/>
      <c r="E61" s="56"/>
      <c r="F61" s="56"/>
    </row>
    <row r="62" spans="2:6" ht="15.75" customHeight="1" x14ac:dyDescent="0.25">
      <c r="B62" s="48" t="s">
        <v>70</v>
      </c>
      <c r="C62" s="49"/>
      <c r="D62" s="49"/>
      <c r="E62" s="49"/>
      <c r="F62" s="50"/>
    </row>
    <row r="63" spans="2:6" ht="15.75" customHeight="1" x14ac:dyDescent="0.25">
      <c r="B63" s="51" t="s">
        <v>64</v>
      </c>
      <c r="C63" s="51">
        <v>2016</v>
      </c>
      <c r="D63" s="51">
        <v>2017</v>
      </c>
      <c r="E63" s="51">
        <v>2018</v>
      </c>
      <c r="F63" s="62" t="s">
        <v>71</v>
      </c>
    </row>
    <row r="64" spans="2:6" ht="15.75" customHeight="1" x14ac:dyDescent="0.25">
      <c r="B64" s="54">
        <v>1</v>
      </c>
      <c r="C64" s="63">
        <v>0.87</v>
      </c>
      <c r="D64" s="63">
        <v>0.75</v>
      </c>
      <c r="E64" s="63">
        <v>0.8</v>
      </c>
      <c r="F64" s="63">
        <v>0.81</v>
      </c>
    </row>
    <row r="65" spans="2:6" ht="15.75" customHeight="1" x14ac:dyDescent="0.25">
      <c r="B65" s="54">
        <v>2</v>
      </c>
      <c r="C65" s="63">
        <v>0.84</v>
      </c>
      <c r="D65" s="63">
        <v>0.82</v>
      </c>
      <c r="E65" s="63">
        <v>0.71</v>
      </c>
      <c r="F65" s="63">
        <v>0.79</v>
      </c>
    </row>
    <row r="66" spans="2:6" ht="15.75" customHeight="1" x14ac:dyDescent="0.25">
      <c r="B66" s="54">
        <v>3</v>
      </c>
      <c r="C66" s="63">
        <v>0.7</v>
      </c>
      <c r="D66" s="63">
        <v>0.74</v>
      </c>
      <c r="E66" s="63">
        <v>0.75</v>
      </c>
      <c r="F66" s="63">
        <v>0.73</v>
      </c>
    </row>
    <row r="67" spans="2:6" ht="15.75" customHeight="1" x14ac:dyDescent="0.25">
      <c r="B67" s="54">
        <v>4</v>
      </c>
      <c r="C67" s="63">
        <v>0.67</v>
      </c>
      <c r="D67" s="63">
        <v>0.63</v>
      </c>
      <c r="E67" s="63">
        <v>0.68</v>
      </c>
      <c r="F67" s="63">
        <v>0.66</v>
      </c>
    </row>
    <row r="68" spans="2:6" ht="15.75" customHeight="1" x14ac:dyDescent="0.25">
      <c r="B68" s="54">
        <v>5</v>
      </c>
      <c r="C68" s="63">
        <v>0.83</v>
      </c>
      <c r="D68" s="63">
        <v>0.76</v>
      </c>
      <c r="E68" s="63">
        <v>0.79</v>
      </c>
      <c r="F68" s="63">
        <v>0.79</v>
      </c>
    </row>
    <row r="69" spans="2:6" ht="15.75" customHeight="1" x14ac:dyDescent="0.25">
      <c r="B69" s="54">
        <v>6</v>
      </c>
      <c r="C69" s="63">
        <v>0.85</v>
      </c>
      <c r="D69" s="63">
        <v>0.86</v>
      </c>
      <c r="E69" s="63">
        <v>0.84</v>
      </c>
      <c r="F69" s="63">
        <v>0.85</v>
      </c>
    </row>
    <row r="70" spans="2:6" ht="15.75" customHeight="1" x14ac:dyDescent="0.25">
      <c r="B70" s="54">
        <v>7</v>
      </c>
      <c r="C70" s="63">
        <v>0.86</v>
      </c>
      <c r="D70" s="63">
        <v>0.84</v>
      </c>
      <c r="E70" s="63">
        <v>0.79</v>
      </c>
      <c r="F70" s="63">
        <v>0.83</v>
      </c>
    </row>
    <row r="71" spans="2:6" ht="15.75" customHeight="1" x14ac:dyDescent="0.25">
      <c r="B71" s="54">
        <v>8</v>
      </c>
      <c r="C71" s="63">
        <v>0.81</v>
      </c>
      <c r="D71" s="63">
        <v>0.82</v>
      </c>
      <c r="E71" s="63">
        <v>0.85</v>
      </c>
      <c r="F71" s="63">
        <v>0.83</v>
      </c>
    </row>
    <row r="72" spans="2:6" ht="15.75" customHeight="1" x14ac:dyDescent="0.25">
      <c r="B72" s="54">
        <v>9</v>
      </c>
      <c r="C72" s="63">
        <v>0.78</v>
      </c>
      <c r="D72" s="63">
        <v>0.83</v>
      </c>
      <c r="E72" s="63">
        <v>0.8</v>
      </c>
      <c r="F72" s="63">
        <v>0.8</v>
      </c>
    </row>
    <row r="73" spans="2:6" ht="15.75" customHeight="1" x14ac:dyDescent="0.25">
      <c r="B73" s="54">
        <v>10</v>
      </c>
      <c r="C73" s="63">
        <v>0.73</v>
      </c>
      <c r="D73" s="63">
        <v>0.69</v>
      </c>
      <c r="E73" s="63">
        <v>0.74</v>
      </c>
      <c r="F73" s="63">
        <v>0.72</v>
      </c>
    </row>
    <row r="74" spans="2:6" ht="15.75" customHeight="1" x14ac:dyDescent="0.25">
      <c r="B74" s="54">
        <v>11</v>
      </c>
      <c r="C74" s="63">
        <v>0.8</v>
      </c>
      <c r="D74" s="63">
        <v>0.81</v>
      </c>
      <c r="E74" s="63">
        <v>0.72</v>
      </c>
      <c r="F74" s="63">
        <v>0.78</v>
      </c>
    </row>
    <row r="75" spans="2:6" ht="15.75" customHeight="1" x14ac:dyDescent="0.25">
      <c r="B75" s="54">
        <v>12</v>
      </c>
      <c r="C75" s="63">
        <v>0.81</v>
      </c>
      <c r="D75" s="63">
        <v>0.84</v>
      </c>
      <c r="E75" s="63">
        <v>0.82</v>
      </c>
      <c r="F75" s="63">
        <v>0.82</v>
      </c>
    </row>
    <row r="76" spans="2:6" x14ac:dyDescent="0.25">
      <c r="B76" s="53"/>
      <c r="C76" s="53"/>
      <c r="D76" s="56"/>
      <c r="E76" s="56"/>
      <c r="F76" s="56"/>
    </row>
    <row r="77" spans="2:6" ht="15.75" customHeight="1" x14ac:dyDescent="0.25">
      <c r="B77" s="48" t="s">
        <v>72</v>
      </c>
      <c r="C77" s="49"/>
      <c r="D77" s="49"/>
      <c r="E77" s="49"/>
      <c r="F77" s="50"/>
    </row>
    <row r="78" spans="2:6" ht="15.75" customHeight="1" x14ac:dyDescent="0.25">
      <c r="B78" s="51" t="s">
        <v>64</v>
      </c>
      <c r="C78" s="51">
        <v>2016</v>
      </c>
      <c r="D78" s="51">
        <v>2017</v>
      </c>
      <c r="E78" s="51">
        <v>2018</v>
      </c>
      <c r="F78" s="62" t="s">
        <v>73</v>
      </c>
    </row>
    <row r="79" spans="2:6" ht="15.75" customHeight="1" x14ac:dyDescent="0.25">
      <c r="B79" s="54">
        <v>1</v>
      </c>
      <c r="C79" s="63">
        <v>0.95</v>
      </c>
      <c r="D79" s="63">
        <v>0.97</v>
      </c>
      <c r="E79" s="63">
        <v>0.94</v>
      </c>
      <c r="F79" s="63">
        <v>0.95</v>
      </c>
    </row>
    <row r="80" spans="2:6" ht="15.75" customHeight="1" x14ac:dyDescent="0.25">
      <c r="B80" s="54">
        <v>2</v>
      </c>
      <c r="C80" s="63">
        <v>0.89</v>
      </c>
      <c r="D80" s="63">
        <v>0.93</v>
      </c>
      <c r="E80" s="63">
        <v>0.94</v>
      </c>
      <c r="F80" s="63">
        <v>0.92</v>
      </c>
    </row>
    <row r="81" spans="2:6" ht="15.75" customHeight="1" x14ac:dyDescent="0.25">
      <c r="B81" s="54">
        <v>3</v>
      </c>
      <c r="C81" s="63">
        <v>0.88</v>
      </c>
      <c r="D81" s="63">
        <v>0.85</v>
      </c>
      <c r="E81" s="63">
        <v>0.9</v>
      </c>
      <c r="F81" s="63">
        <v>0.88</v>
      </c>
    </row>
    <row r="82" spans="2:6" ht="15.75" customHeight="1" x14ac:dyDescent="0.25">
      <c r="B82" s="54">
        <v>4</v>
      </c>
      <c r="C82" s="63">
        <v>0.79</v>
      </c>
      <c r="D82" s="63">
        <v>0.87</v>
      </c>
      <c r="E82" s="63">
        <v>0.63</v>
      </c>
      <c r="F82" s="63">
        <v>0.76</v>
      </c>
    </row>
    <row r="83" spans="2:6" ht="15.75" customHeight="1" x14ac:dyDescent="0.25">
      <c r="B83" s="54">
        <v>5</v>
      </c>
      <c r="C83" s="63">
        <v>0.69</v>
      </c>
      <c r="D83" s="63">
        <v>0.8</v>
      </c>
      <c r="E83" s="63">
        <v>0.71</v>
      </c>
      <c r="F83" s="63">
        <v>0.74</v>
      </c>
    </row>
    <row r="84" spans="2:6" ht="15.75" customHeight="1" x14ac:dyDescent="0.25">
      <c r="B84" s="54">
        <v>6</v>
      </c>
      <c r="C84" s="63">
        <v>0.67</v>
      </c>
      <c r="D84" s="63">
        <v>0.7</v>
      </c>
      <c r="E84" s="63">
        <v>0.74</v>
      </c>
      <c r="F84" s="63">
        <v>0.7</v>
      </c>
    </row>
    <row r="85" spans="2:6" ht="15.75" customHeight="1" x14ac:dyDescent="0.25">
      <c r="B85" s="54">
        <v>7</v>
      </c>
      <c r="C85" s="63">
        <v>0.77</v>
      </c>
      <c r="D85" s="63">
        <v>0.84</v>
      </c>
      <c r="E85" s="63">
        <v>0.91</v>
      </c>
      <c r="F85" s="63">
        <v>0.84</v>
      </c>
    </row>
    <row r="86" spans="2:6" ht="15.75" customHeight="1" x14ac:dyDescent="0.25">
      <c r="B86" s="54">
        <v>8</v>
      </c>
      <c r="C86" s="63">
        <v>0.76</v>
      </c>
      <c r="D86" s="63">
        <v>0.75</v>
      </c>
      <c r="E86" s="63">
        <v>0.95</v>
      </c>
      <c r="F86" s="63">
        <v>0.82</v>
      </c>
    </row>
    <row r="87" spans="2:6" ht="15.75" customHeight="1" x14ac:dyDescent="0.25">
      <c r="B87" s="54">
        <v>9</v>
      </c>
      <c r="C87" s="63">
        <v>0.78</v>
      </c>
      <c r="D87" s="63">
        <v>0.78</v>
      </c>
      <c r="E87" s="63">
        <v>0.93</v>
      </c>
      <c r="F87" s="63">
        <v>0.83</v>
      </c>
    </row>
    <row r="88" spans="2:6" ht="15.75" customHeight="1" x14ac:dyDescent="0.25">
      <c r="B88" s="54">
        <v>10</v>
      </c>
      <c r="C88" s="63">
        <v>0.86</v>
      </c>
      <c r="D88" s="63">
        <v>0.82</v>
      </c>
      <c r="E88" s="63">
        <v>0.91</v>
      </c>
      <c r="F88" s="63">
        <v>0.86</v>
      </c>
    </row>
    <row r="89" spans="2:6" ht="15.75" customHeight="1" x14ac:dyDescent="0.25">
      <c r="B89" s="54">
        <v>11</v>
      </c>
      <c r="C89" s="63">
        <v>0.9</v>
      </c>
      <c r="D89" s="63">
        <v>0.93</v>
      </c>
      <c r="E89" s="63">
        <v>0.95</v>
      </c>
      <c r="F89" s="63">
        <v>0.93</v>
      </c>
    </row>
    <row r="90" spans="2:6" ht="15.75" customHeight="1" x14ac:dyDescent="0.25">
      <c r="B90" s="54">
        <v>12</v>
      </c>
      <c r="C90" s="63">
        <v>0.94</v>
      </c>
      <c r="D90" s="63">
        <v>0.94</v>
      </c>
      <c r="E90" s="63">
        <v>0.98</v>
      </c>
      <c r="F90" s="63">
        <v>0.95</v>
      </c>
    </row>
    <row r="91" spans="2:6" x14ac:dyDescent="0.25">
      <c r="B91" s="53"/>
      <c r="C91" s="53"/>
      <c r="D91" s="56"/>
      <c r="E91" s="56"/>
      <c r="F91" s="56"/>
    </row>
    <row r="92" spans="2:6" x14ac:dyDescent="0.25">
      <c r="B92" s="53"/>
      <c r="C92" s="53"/>
      <c r="D92" s="56"/>
      <c r="E92" s="56"/>
      <c r="F92" s="56"/>
    </row>
    <row r="93" spans="2:6" ht="15.75" customHeight="1" x14ac:dyDescent="0.25">
      <c r="B93" s="64" t="s">
        <v>74</v>
      </c>
      <c r="C93" s="49"/>
      <c r="D93" s="49"/>
      <c r="E93" s="49"/>
      <c r="F93" s="50"/>
    </row>
    <row r="94" spans="2:6" ht="15.75" customHeight="1" x14ac:dyDescent="0.25">
      <c r="B94" s="51" t="s">
        <v>64</v>
      </c>
      <c r="C94" s="51">
        <v>2016</v>
      </c>
      <c r="D94" s="51">
        <v>2017</v>
      </c>
      <c r="E94" s="51">
        <v>2018</v>
      </c>
      <c r="F94" s="62" t="s">
        <v>75</v>
      </c>
    </row>
    <row r="95" spans="2:6" ht="15.75" customHeight="1" x14ac:dyDescent="0.25">
      <c r="B95" s="54">
        <v>1</v>
      </c>
      <c r="C95" s="63">
        <v>0.59</v>
      </c>
      <c r="D95" s="63">
        <v>0.57999999999999996</v>
      </c>
      <c r="E95" s="63">
        <v>0.61</v>
      </c>
      <c r="F95" s="63">
        <v>0.6</v>
      </c>
    </row>
    <row r="96" spans="2:6" ht="15.75" customHeight="1" x14ac:dyDescent="0.25">
      <c r="B96" s="54">
        <v>2</v>
      </c>
      <c r="C96" s="63">
        <v>0.76</v>
      </c>
      <c r="D96" s="63">
        <v>0.68</v>
      </c>
      <c r="E96" s="63">
        <v>0.65</v>
      </c>
      <c r="F96" s="63">
        <v>0.7</v>
      </c>
    </row>
    <row r="97" spans="1:6" ht="15.75" customHeight="1" x14ac:dyDescent="0.25">
      <c r="B97" s="54">
        <v>3</v>
      </c>
      <c r="C97" s="63">
        <v>0.7</v>
      </c>
      <c r="D97" s="63">
        <v>0.83</v>
      </c>
      <c r="E97" s="63">
        <v>0.67</v>
      </c>
      <c r="F97" s="63">
        <v>0.73</v>
      </c>
    </row>
    <row r="98" spans="1:6" ht="15.75" customHeight="1" x14ac:dyDescent="0.25">
      <c r="B98" s="54">
        <v>4</v>
      </c>
      <c r="C98" s="63">
        <v>0.68</v>
      </c>
      <c r="D98" s="63">
        <v>0.77</v>
      </c>
      <c r="E98" s="63">
        <v>0.73</v>
      </c>
      <c r="F98" s="63">
        <v>0.72</v>
      </c>
    </row>
    <row r="99" spans="1:6" ht="15.75" customHeight="1" x14ac:dyDescent="0.25">
      <c r="B99" s="54">
        <v>5</v>
      </c>
      <c r="C99" s="63">
        <v>0.7</v>
      </c>
      <c r="D99" s="63">
        <v>0.64</v>
      </c>
      <c r="E99" s="63">
        <v>0.72</v>
      </c>
      <c r="F99" s="63">
        <v>0.69</v>
      </c>
    </row>
    <row r="100" spans="1:6" ht="15.75" customHeight="1" x14ac:dyDescent="0.25">
      <c r="B100" s="54">
        <v>6</v>
      </c>
      <c r="C100" s="63">
        <v>0.72</v>
      </c>
      <c r="D100" s="63">
        <v>0.77</v>
      </c>
      <c r="E100" s="63">
        <v>0.72</v>
      </c>
      <c r="F100" s="63">
        <v>0.74</v>
      </c>
    </row>
    <row r="101" spans="1:6" ht="15.75" customHeight="1" x14ac:dyDescent="0.25">
      <c r="B101" s="54">
        <v>7</v>
      </c>
      <c r="C101" s="63">
        <v>0.66</v>
      </c>
      <c r="D101" s="63">
        <v>0.8</v>
      </c>
      <c r="E101" s="63">
        <v>0.74</v>
      </c>
      <c r="F101" s="63">
        <v>0.73</v>
      </c>
    </row>
    <row r="102" spans="1:6" ht="15.75" customHeight="1" x14ac:dyDescent="0.25">
      <c r="B102" s="54">
        <v>8</v>
      </c>
      <c r="C102" s="63">
        <v>0.74</v>
      </c>
      <c r="D102" s="63">
        <v>0.72</v>
      </c>
      <c r="E102" s="63">
        <v>0.7</v>
      </c>
      <c r="F102" s="63">
        <v>0.72</v>
      </c>
    </row>
    <row r="103" spans="1:6" ht="15.75" customHeight="1" x14ac:dyDescent="0.25">
      <c r="B103" s="54">
        <v>9</v>
      </c>
      <c r="C103" s="63">
        <v>0.65</v>
      </c>
      <c r="D103" s="63">
        <v>0.72</v>
      </c>
      <c r="E103" s="63">
        <v>0.77</v>
      </c>
      <c r="F103" s="63">
        <v>0.71</v>
      </c>
    </row>
    <row r="104" spans="1:6" ht="15.75" customHeight="1" x14ac:dyDescent="0.25">
      <c r="B104" s="54">
        <v>10</v>
      </c>
      <c r="C104" s="63">
        <v>0.56999999999999995</v>
      </c>
      <c r="D104" s="63">
        <v>0.64</v>
      </c>
      <c r="E104" s="63">
        <v>0.69</v>
      </c>
      <c r="F104" s="63">
        <v>0.64</v>
      </c>
    </row>
    <row r="105" spans="1:6" ht="15.75" customHeight="1" x14ac:dyDescent="0.25">
      <c r="B105" s="54">
        <v>11</v>
      </c>
      <c r="C105" s="63">
        <v>0.53</v>
      </c>
      <c r="D105" s="63">
        <v>0.6</v>
      </c>
      <c r="E105" s="63">
        <v>0.55000000000000004</v>
      </c>
      <c r="F105" s="63">
        <v>0.56000000000000005</v>
      </c>
    </row>
    <row r="106" spans="1:6" ht="15.75" customHeight="1" x14ac:dyDescent="0.25">
      <c r="B106" s="54">
        <v>12</v>
      </c>
      <c r="C106" s="63">
        <v>0.6</v>
      </c>
      <c r="D106" s="63">
        <v>0.73</v>
      </c>
      <c r="E106" s="63">
        <v>0.57999999999999996</v>
      </c>
      <c r="F106" s="63">
        <v>0.64</v>
      </c>
    </row>
    <row r="107" spans="1:6" x14ac:dyDescent="0.25">
      <c r="D107" s="46"/>
      <c r="E107" s="46"/>
      <c r="F107" s="46"/>
    </row>
    <row r="108" spans="1:6" x14ac:dyDescent="0.25">
      <c r="D108" s="46"/>
      <c r="E108" s="46"/>
      <c r="F108" s="46"/>
    </row>
    <row r="109" spans="1:6" x14ac:dyDescent="0.25">
      <c r="D109" s="46"/>
      <c r="E109" s="46"/>
      <c r="F109" s="46"/>
    </row>
    <row r="110" spans="1:6" x14ac:dyDescent="0.25">
      <c r="A110" s="5" t="s">
        <v>76</v>
      </c>
      <c r="D110" s="46"/>
      <c r="E110" s="46"/>
      <c r="F110" s="46"/>
    </row>
    <row r="111" spans="1:6" x14ac:dyDescent="0.25">
      <c r="A111" s="5" t="s">
        <v>77</v>
      </c>
      <c r="D111" s="46"/>
      <c r="E111" s="46"/>
      <c r="F111" s="46"/>
    </row>
  </sheetData>
  <mergeCells count="27">
    <mergeCell ref="C14:D14"/>
    <mergeCell ref="C9:D9"/>
    <mergeCell ref="C10:D10"/>
    <mergeCell ref="C11:D11"/>
    <mergeCell ref="C12:D12"/>
    <mergeCell ref="C13:D13"/>
    <mergeCell ref="C29:D29"/>
    <mergeCell ref="C15:D15"/>
    <mergeCell ref="C16:D16"/>
    <mergeCell ref="C17:D17"/>
    <mergeCell ref="C18:D18"/>
    <mergeCell ref="C19:D19"/>
    <mergeCell ref="C20:D20"/>
    <mergeCell ref="C21:D21"/>
    <mergeCell ref="C25:D25"/>
    <mergeCell ref="C26:D26"/>
    <mergeCell ref="C27:D27"/>
    <mergeCell ref="C28:D28"/>
    <mergeCell ref="C36:D36"/>
    <mergeCell ref="C37:D37"/>
    <mergeCell ref="C46:D46"/>
    <mergeCell ref="C30:D30"/>
    <mergeCell ref="C31:D31"/>
    <mergeCell ref="C32:D32"/>
    <mergeCell ref="C33:D33"/>
    <mergeCell ref="C34:D34"/>
    <mergeCell ref="C35:D35"/>
  </mergeCells>
  <pageMargins left="0.7" right="0.7" top="0.75" bottom="0.75" header="0.3" footer="0.3"/>
  <pageSetup orientation="portrait" horizontalDpi="200" verticalDpi="200"/>
  <headerFooter>
    <oddFooter>&amp;LCalifornia ISO Public Document&amp;R&amp;P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57"/>
  <sheetViews>
    <sheetView workbookViewId="0"/>
  </sheetViews>
  <sheetFormatPr defaultRowHeight="15" x14ac:dyDescent="0.25"/>
  <cols>
    <col min="1" max="1" width="4.28515625" customWidth="1"/>
    <col min="2" max="2" width="10.140625" customWidth="1"/>
    <col min="257" max="257" width="4.28515625" customWidth="1"/>
    <col min="258" max="258" width="10.140625" customWidth="1"/>
    <col min="513" max="513" width="4.28515625" customWidth="1"/>
    <col min="514" max="514" width="10.140625" customWidth="1"/>
    <col min="769" max="769" width="4.28515625" customWidth="1"/>
    <col min="770" max="770" width="10.140625" customWidth="1"/>
    <col min="1025" max="1025" width="4.28515625" customWidth="1"/>
    <col min="1026" max="1026" width="10.140625" customWidth="1"/>
    <col min="1281" max="1281" width="4.28515625" customWidth="1"/>
    <col min="1282" max="1282" width="10.140625" customWidth="1"/>
    <col min="1537" max="1537" width="4.28515625" customWidth="1"/>
    <col min="1538" max="1538" width="10.140625" customWidth="1"/>
    <col min="1793" max="1793" width="4.28515625" customWidth="1"/>
    <col min="1794" max="1794" width="10.140625" customWidth="1"/>
    <col min="2049" max="2049" width="4.28515625" customWidth="1"/>
    <col min="2050" max="2050" width="10.140625" customWidth="1"/>
    <col min="2305" max="2305" width="4.28515625" customWidth="1"/>
    <col min="2306" max="2306" width="10.140625" customWidth="1"/>
    <col min="2561" max="2561" width="4.28515625" customWidth="1"/>
    <col min="2562" max="2562" width="10.140625" customWidth="1"/>
    <col min="2817" max="2817" width="4.28515625" customWidth="1"/>
    <col min="2818" max="2818" width="10.140625" customWidth="1"/>
    <col min="3073" max="3073" width="4.28515625" customWidth="1"/>
    <col min="3074" max="3074" width="10.140625" customWidth="1"/>
    <col min="3329" max="3329" width="4.28515625" customWidth="1"/>
    <col min="3330" max="3330" width="10.140625" customWidth="1"/>
    <col min="3585" max="3585" width="4.28515625" customWidth="1"/>
    <col min="3586" max="3586" width="10.140625" customWidth="1"/>
    <col min="3841" max="3841" width="4.28515625" customWidth="1"/>
    <col min="3842" max="3842" width="10.140625" customWidth="1"/>
    <col min="4097" max="4097" width="4.28515625" customWidth="1"/>
    <col min="4098" max="4098" width="10.140625" customWidth="1"/>
    <col min="4353" max="4353" width="4.28515625" customWidth="1"/>
    <col min="4354" max="4354" width="10.140625" customWidth="1"/>
    <col min="4609" max="4609" width="4.28515625" customWidth="1"/>
    <col min="4610" max="4610" width="10.140625" customWidth="1"/>
    <col min="4865" max="4865" width="4.28515625" customWidth="1"/>
    <col min="4866" max="4866" width="10.140625" customWidth="1"/>
    <col min="5121" max="5121" width="4.28515625" customWidth="1"/>
    <col min="5122" max="5122" width="10.140625" customWidth="1"/>
    <col min="5377" max="5377" width="4.28515625" customWidth="1"/>
    <col min="5378" max="5378" width="10.140625" customWidth="1"/>
    <col min="5633" max="5633" width="4.28515625" customWidth="1"/>
    <col min="5634" max="5634" width="10.140625" customWidth="1"/>
    <col min="5889" max="5889" width="4.28515625" customWidth="1"/>
    <col min="5890" max="5890" width="10.140625" customWidth="1"/>
    <col min="6145" max="6145" width="4.28515625" customWidth="1"/>
    <col min="6146" max="6146" width="10.140625" customWidth="1"/>
    <col min="6401" max="6401" width="4.28515625" customWidth="1"/>
    <col min="6402" max="6402" width="10.140625" customWidth="1"/>
    <col min="6657" max="6657" width="4.28515625" customWidth="1"/>
    <col min="6658" max="6658" width="10.140625" customWidth="1"/>
    <col min="6913" max="6913" width="4.28515625" customWidth="1"/>
    <col min="6914" max="6914" width="10.140625" customWidth="1"/>
    <col min="7169" max="7169" width="4.28515625" customWidth="1"/>
    <col min="7170" max="7170" width="10.140625" customWidth="1"/>
    <col min="7425" max="7425" width="4.28515625" customWidth="1"/>
    <col min="7426" max="7426" width="10.140625" customWidth="1"/>
    <col min="7681" max="7681" width="4.28515625" customWidth="1"/>
    <col min="7682" max="7682" width="10.140625" customWidth="1"/>
    <col min="7937" max="7937" width="4.28515625" customWidth="1"/>
    <col min="7938" max="7938" width="10.140625" customWidth="1"/>
    <col min="8193" max="8193" width="4.28515625" customWidth="1"/>
    <col min="8194" max="8194" width="10.140625" customWidth="1"/>
    <col min="8449" max="8449" width="4.28515625" customWidth="1"/>
    <col min="8450" max="8450" width="10.140625" customWidth="1"/>
    <col min="8705" max="8705" width="4.28515625" customWidth="1"/>
    <col min="8706" max="8706" width="10.140625" customWidth="1"/>
    <col min="8961" max="8961" width="4.28515625" customWidth="1"/>
    <col min="8962" max="8962" width="10.140625" customWidth="1"/>
    <col min="9217" max="9217" width="4.28515625" customWidth="1"/>
    <col min="9218" max="9218" width="10.140625" customWidth="1"/>
    <col min="9473" max="9473" width="4.28515625" customWidth="1"/>
    <col min="9474" max="9474" width="10.140625" customWidth="1"/>
    <col min="9729" max="9729" width="4.28515625" customWidth="1"/>
    <col min="9730" max="9730" width="10.140625" customWidth="1"/>
    <col min="9985" max="9985" width="4.28515625" customWidth="1"/>
    <col min="9986" max="9986" width="10.140625" customWidth="1"/>
    <col min="10241" max="10241" width="4.28515625" customWidth="1"/>
    <col min="10242" max="10242" width="10.140625" customWidth="1"/>
    <col min="10497" max="10497" width="4.28515625" customWidth="1"/>
    <col min="10498" max="10498" width="10.140625" customWidth="1"/>
    <col min="10753" max="10753" width="4.28515625" customWidth="1"/>
    <col min="10754" max="10754" width="10.140625" customWidth="1"/>
    <col min="11009" max="11009" width="4.28515625" customWidth="1"/>
    <col min="11010" max="11010" width="10.140625" customWidth="1"/>
    <col min="11265" max="11265" width="4.28515625" customWidth="1"/>
    <col min="11266" max="11266" width="10.140625" customWidth="1"/>
    <col min="11521" max="11521" width="4.28515625" customWidth="1"/>
    <col min="11522" max="11522" width="10.140625" customWidth="1"/>
    <col min="11777" max="11777" width="4.28515625" customWidth="1"/>
    <col min="11778" max="11778" width="10.140625" customWidth="1"/>
    <col min="12033" max="12033" width="4.28515625" customWidth="1"/>
    <col min="12034" max="12034" width="10.140625" customWidth="1"/>
    <col min="12289" max="12289" width="4.28515625" customWidth="1"/>
    <col min="12290" max="12290" width="10.140625" customWidth="1"/>
    <col min="12545" max="12545" width="4.28515625" customWidth="1"/>
    <col min="12546" max="12546" width="10.140625" customWidth="1"/>
    <col min="12801" max="12801" width="4.28515625" customWidth="1"/>
    <col min="12802" max="12802" width="10.140625" customWidth="1"/>
    <col min="13057" max="13057" width="4.28515625" customWidth="1"/>
    <col min="13058" max="13058" width="10.140625" customWidth="1"/>
    <col min="13313" max="13313" width="4.28515625" customWidth="1"/>
    <col min="13314" max="13314" width="10.140625" customWidth="1"/>
    <col min="13569" max="13569" width="4.28515625" customWidth="1"/>
    <col min="13570" max="13570" width="10.140625" customWidth="1"/>
    <col min="13825" max="13825" width="4.28515625" customWidth="1"/>
    <col min="13826" max="13826" width="10.140625" customWidth="1"/>
    <col min="14081" max="14081" width="4.28515625" customWidth="1"/>
    <col min="14082" max="14082" width="10.140625" customWidth="1"/>
    <col min="14337" max="14337" width="4.28515625" customWidth="1"/>
    <col min="14338" max="14338" width="10.140625" customWidth="1"/>
    <col min="14593" max="14593" width="4.28515625" customWidth="1"/>
    <col min="14594" max="14594" width="10.140625" customWidth="1"/>
    <col min="14849" max="14849" width="4.28515625" customWidth="1"/>
    <col min="14850" max="14850" width="10.140625" customWidth="1"/>
    <col min="15105" max="15105" width="4.28515625" customWidth="1"/>
    <col min="15106" max="15106" width="10.140625" customWidth="1"/>
    <col min="15361" max="15361" width="4.28515625" customWidth="1"/>
    <col min="15362" max="15362" width="10.140625" customWidth="1"/>
    <col min="15617" max="15617" width="4.28515625" customWidth="1"/>
    <col min="15618" max="15618" width="10.140625" customWidth="1"/>
    <col min="15873" max="15873" width="4.28515625" customWidth="1"/>
    <col min="15874" max="15874" width="10.140625" customWidth="1"/>
    <col min="16129" max="16129" width="4.28515625" customWidth="1"/>
    <col min="16130" max="16130" width="10.140625" customWidth="1"/>
  </cols>
  <sheetData>
    <row r="1" spans="1:16" x14ac:dyDescent="0.25">
      <c r="A1" s="6"/>
      <c r="B1" s="65" t="s">
        <v>78</v>
      </c>
    </row>
    <row r="2" spans="1:16" x14ac:dyDescent="0.25">
      <c r="A2" s="6"/>
      <c r="J2" s="66" t="s">
        <v>79</v>
      </c>
    </row>
    <row r="3" spans="1:16" x14ac:dyDescent="0.25">
      <c r="A3" s="6"/>
      <c r="B3" s="114" t="s">
        <v>80</v>
      </c>
      <c r="C3" s="115"/>
      <c r="D3" s="115"/>
      <c r="E3" s="115"/>
      <c r="F3" s="115"/>
      <c r="G3" s="115"/>
      <c r="H3" s="116"/>
      <c r="J3" s="67" t="s">
        <v>81</v>
      </c>
      <c r="K3" s="67" t="s">
        <v>82</v>
      </c>
      <c r="L3" s="67" t="s">
        <v>83</v>
      </c>
    </row>
    <row r="4" spans="1:16" x14ac:dyDescent="0.25">
      <c r="A4" s="6"/>
      <c r="B4" s="114" t="s">
        <v>84</v>
      </c>
      <c r="C4" s="115"/>
      <c r="D4" s="115"/>
      <c r="E4" s="115"/>
      <c r="F4" s="115"/>
      <c r="G4" s="115"/>
      <c r="H4" s="116"/>
      <c r="I4" s="8"/>
      <c r="J4" s="68">
        <f>SUMPRODUCT(C7:C16,D7:D16)/SUM(D7:D16)</f>
        <v>0.32491693837102709</v>
      </c>
      <c r="K4" s="68">
        <f>SUMPRODUCT(E7:E16,F7:F16)/SUM(F7:F16)</f>
        <v>0.42750905166194864</v>
      </c>
      <c r="L4" s="68">
        <f>SUMPRODUCT(G7:G16,H7:H16)/SUM(H7:H16)</f>
        <v>0.1917136686385521</v>
      </c>
    </row>
    <row r="5" spans="1:16" x14ac:dyDescent="0.25">
      <c r="A5" s="6"/>
      <c r="B5" s="69" t="s">
        <v>85</v>
      </c>
      <c r="C5" s="117" t="s">
        <v>86</v>
      </c>
      <c r="D5" s="118"/>
      <c r="E5" s="117" t="s">
        <v>87</v>
      </c>
      <c r="F5" s="118"/>
      <c r="G5" s="119" t="s">
        <v>88</v>
      </c>
      <c r="H5" s="116"/>
      <c r="I5" s="8"/>
      <c r="J5" s="9"/>
      <c r="K5" s="9"/>
      <c r="L5" s="9"/>
    </row>
    <row r="6" spans="1:16" ht="75" customHeight="1" x14ac:dyDescent="0.25">
      <c r="A6" s="6"/>
      <c r="B6" s="70" t="s">
        <v>89</v>
      </c>
      <c r="C6" s="71" t="s">
        <v>90</v>
      </c>
      <c r="D6" s="67" t="s">
        <v>91</v>
      </c>
      <c r="E6" s="71" t="s">
        <v>90</v>
      </c>
      <c r="F6" s="67" t="s">
        <v>91</v>
      </c>
      <c r="G6" s="71" t="s">
        <v>90</v>
      </c>
      <c r="H6" s="67" t="s">
        <v>91</v>
      </c>
      <c r="I6" s="8"/>
      <c r="J6" s="112" t="s">
        <v>92</v>
      </c>
      <c r="K6" s="113"/>
      <c r="L6" s="113"/>
      <c r="M6" s="113"/>
      <c r="N6" s="113"/>
      <c r="O6" s="113"/>
      <c r="P6" s="113"/>
    </row>
    <row r="7" spans="1:16" x14ac:dyDescent="0.25">
      <c r="A7" s="6"/>
      <c r="B7" s="7" t="s">
        <v>93</v>
      </c>
      <c r="C7" s="72">
        <v>0.3811630215743852</v>
      </c>
      <c r="D7" s="73">
        <v>4197.5999999999995</v>
      </c>
      <c r="E7" s="72">
        <v>0.3396431265886154</v>
      </c>
      <c r="F7" s="73">
        <v>2974.4</v>
      </c>
      <c r="G7" s="72">
        <v>0.27527403159152458</v>
      </c>
      <c r="H7" s="73">
        <v>15598.80000000001</v>
      </c>
      <c r="I7" s="8"/>
      <c r="J7" s="74"/>
      <c r="K7" s="74"/>
      <c r="L7" s="74"/>
      <c r="M7" s="74"/>
      <c r="N7" s="74"/>
      <c r="O7" s="74"/>
      <c r="P7" s="74"/>
    </row>
    <row r="8" spans="1:16" x14ac:dyDescent="0.25">
      <c r="A8" s="6"/>
      <c r="B8" s="7" t="s">
        <v>94</v>
      </c>
      <c r="C8" s="72">
        <v>0.39806301225492829</v>
      </c>
      <c r="D8" s="73">
        <v>4196.9999999999991</v>
      </c>
      <c r="E8" s="72">
        <v>0.3911918759273364</v>
      </c>
      <c r="F8" s="73">
        <v>2610.599999999999</v>
      </c>
      <c r="G8" s="72">
        <v>0.20963421168752369</v>
      </c>
      <c r="H8" s="73">
        <v>14730.2</v>
      </c>
      <c r="I8" s="8"/>
      <c r="J8" s="74"/>
      <c r="K8" s="74"/>
      <c r="L8" s="74"/>
      <c r="M8" s="74"/>
      <c r="N8" s="74"/>
      <c r="O8" s="74"/>
      <c r="P8" s="74"/>
    </row>
    <row r="9" spans="1:16" x14ac:dyDescent="0.25">
      <c r="B9" s="7" t="s">
        <v>95</v>
      </c>
      <c r="C9" s="72">
        <v>0.33292464565706859</v>
      </c>
      <c r="D9" s="73">
        <v>4196.9999999999991</v>
      </c>
      <c r="E9" s="72">
        <v>0.51881614425216394</v>
      </c>
      <c r="F9" s="73">
        <v>2382.599999999999</v>
      </c>
      <c r="G9" s="72">
        <v>0.14262171489477249</v>
      </c>
      <c r="H9" s="73">
        <v>11996.30000000001</v>
      </c>
      <c r="I9" s="8"/>
      <c r="J9" s="74"/>
      <c r="K9" s="74"/>
      <c r="L9" s="74"/>
      <c r="M9" s="74"/>
      <c r="N9" s="74"/>
    </row>
    <row r="10" spans="1:16" x14ac:dyDescent="0.25">
      <c r="B10" s="7" t="s">
        <v>96</v>
      </c>
      <c r="C10" s="72">
        <v>0.19940454898490981</v>
      </c>
      <c r="D10" s="73">
        <v>3609</v>
      </c>
      <c r="E10" s="72">
        <v>0.7933851478827022</v>
      </c>
      <c r="F10" s="73">
        <v>2038.4</v>
      </c>
      <c r="G10" s="72">
        <v>0.1428617863182029</v>
      </c>
      <c r="H10" s="73">
        <v>10821.70000000001</v>
      </c>
      <c r="I10" s="8"/>
      <c r="J10" s="74"/>
      <c r="K10" s="74"/>
      <c r="L10" s="74"/>
      <c r="M10" s="74"/>
      <c r="N10" s="74"/>
    </row>
    <row r="11" spans="1:16" x14ac:dyDescent="0.25">
      <c r="B11" s="7" t="s">
        <v>97</v>
      </c>
      <c r="C11" s="72">
        <v>0.28446768977022008</v>
      </c>
      <c r="D11" s="73">
        <v>2670.5</v>
      </c>
      <c r="E11" s="72">
        <v>0.2701657716118599</v>
      </c>
      <c r="F11" s="73">
        <v>1875.4</v>
      </c>
      <c r="G11" s="72">
        <v>0.28441069681134118</v>
      </c>
      <c r="H11" s="73">
        <v>10494.900000000011</v>
      </c>
      <c r="I11" s="8"/>
      <c r="J11" s="74"/>
      <c r="K11" s="74"/>
      <c r="L11" s="74"/>
      <c r="M11" s="74"/>
      <c r="N11" s="74"/>
    </row>
    <row r="12" spans="1:16" x14ac:dyDescent="0.25">
      <c r="B12" s="7" t="s">
        <v>98</v>
      </c>
      <c r="C12" s="72">
        <v>0.2271297943939844</v>
      </c>
      <c r="D12" s="73">
        <v>207</v>
      </c>
      <c r="E12" s="72">
        <v>0.42284951901881168</v>
      </c>
      <c r="F12" s="73">
        <v>1671.4</v>
      </c>
      <c r="G12" s="72">
        <v>0.1070078723318266</v>
      </c>
      <c r="H12" s="73">
        <v>8858.8000000000011</v>
      </c>
      <c r="I12" s="8"/>
      <c r="J12" s="8"/>
    </row>
    <row r="13" spans="1:16" x14ac:dyDescent="0.25">
      <c r="B13" s="7" t="s">
        <v>99</v>
      </c>
      <c r="C13" s="72">
        <v>0.36173636548636562</v>
      </c>
      <c r="D13" s="73">
        <v>207</v>
      </c>
      <c r="E13" s="72">
        <v>0.4366005309436829</v>
      </c>
      <c r="F13" s="73">
        <v>1269.7</v>
      </c>
      <c r="G13" s="72">
        <v>0.17265001284430939</v>
      </c>
      <c r="H13" s="73">
        <v>8789.4000000000015</v>
      </c>
      <c r="I13" s="8"/>
      <c r="J13" s="8"/>
    </row>
    <row r="14" spans="1:16" x14ac:dyDescent="0.25">
      <c r="B14" s="7" t="s">
        <v>100</v>
      </c>
      <c r="C14" s="72">
        <v>0.23047624798711761</v>
      </c>
      <c r="D14" s="73">
        <v>207</v>
      </c>
      <c r="E14" s="72">
        <v>0.32465499187296831</v>
      </c>
      <c r="F14" s="73">
        <v>1066.4000000000001</v>
      </c>
      <c r="G14" s="72">
        <v>0.16685320615394869</v>
      </c>
      <c r="H14" s="73">
        <v>7999.1999999999989</v>
      </c>
      <c r="I14" s="8"/>
      <c r="J14" s="8"/>
    </row>
    <row r="15" spans="1:16" x14ac:dyDescent="0.25">
      <c r="B15" s="7" t="s">
        <v>101</v>
      </c>
      <c r="C15" s="72">
        <v>0.38469326768239809</v>
      </c>
      <c r="D15" s="73">
        <v>207</v>
      </c>
      <c r="E15" s="72">
        <v>0.15738835824145481</v>
      </c>
      <c r="F15" s="73">
        <v>965.59999999999991</v>
      </c>
      <c r="G15" s="72">
        <v>0.20275638435030671</v>
      </c>
      <c r="H15" s="73">
        <v>7670.6999999999989</v>
      </c>
      <c r="I15" s="8"/>
      <c r="J15" s="8"/>
    </row>
    <row r="16" spans="1:16" x14ac:dyDescent="0.25">
      <c r="B16" s="7" t="s">
        <v>102</v>
      </c>
      <c r="C16" s="72">
        <v>0.34467366750159789</v>
      </c>
      <c r="D16" s="73">
        <v>206.95699999999999</v>
      </c>
      <c r="E16" s="72">
        <v>0.48410488110270611</v>
      </c>
      <c r="F16" s="73">
        <v>965.55000000000018</v>
      </c>
      <c r="G16" s="72">
        <v>0.1430380328610748</v>
      </c>
      <c r="H16" s="73">
        <v>8023.9349999999986</v>
      </c>
    </row>
    <row r="19" spans="2:11" x14ac:dyDescent="0.25">
      <c r="B19" s="65" t="s">
        <v>103</v>
      </c>
      <c r="C19" s="6"/>
      <c r="D19" s="6"/>
      <c r="E19" s="6"/>
      <c r="F19" s="6"/>
      <c r="G19" s="6"/>
      <c r="H19" s="6"/>
      <c r="I19" s="6"/>
      <c r="J19" s="6"/>
      <c r="K19" s="6"/>
    </row>
    <row r="21" spans="2:11" x14ac:dyDescent="0.25">
      <c r="F21" s="75" t="s">
        <v>104</v>
      </c>
      <c r="G21" s="76"/>
      <c r="H21" s="76"/>
      <c r="I21" s="76"/>
    </row>
    <row r="22" spans="2:11" x14ac:dyDescent="0.25">
      <c r="B22" s="120" t="s">
        <v>105</v>
      </c>
      <c r="C22" s="115"/>
      <c r="D22" s="116"/>
      <c r="F22" s="77" t="s">
        <v>106</v>
      </c>
      <c r="G22" s="76"/>
      <c r="H22" s="76"/>
      <c r="I22" s="76"/>
    </row>
    <row r="23" spans="2:11" x14ac:dyDescent="0.25">
      <c r="B23" s="120" t="s">
        <v>84</v>
      </c>
      <c r="C23" s="115"/>
      <c r="D23" s="116"/>
      <c r="F23" s="78">
        <f>SUMPRODUCT(C25:C27,D25:D27)/SUM(D25:D27)</f>
        <v>6.8617832470217896E-2</v>
      </c>
      <c r="G23" s="76"/>
      <c r="H23" s="76"/>
      <c r="I23" s="76"/>
    </row>
    <row r="24" spans="2:11" ht="75" customHeight="1" x14ac:dyDescent="0.25">
      <c r="B24" s="79" t="s">
        <v>89</v>
      </c>
      <c r="C24" s="71" t="s">
        <v>90</v>
      </c>
      <c r="D24" s="67" t="s">
        <v>91</v>
      </c>
      <c r="F24" s="76"/>
      <c r="G24" s="76"/>
      <c r="H24" s="76"/>
      <c r="I24" s="76"/>
    </row>
    <row r="25" spans="2:11" x14ac:dyDescent="0.25">
      <c r="B25" s="7" t="s">
        <v>107</v>
      </c>
      <c r="C25" s="80">
        <v>3.8684930263038597E-2</v>
      </c>
      <c r="D25" s="81">
        <v>2020.2</v>
      </c>
      <c r="E25" s="82"/>
      <c r="F25" s="76"/>
      <c r="G25" s="76"/>
      <c r="H25" s="76"/>
      <c r="I25" s="76"/>
    </row>
    <row r="26" spans="2:11" x14ac:dyDescent="0.25">
      <c r="B26" s="7" t="s">
        <v>108</v>
      </c>
      <c r="C26" s="83">
        <v>9.1846313695874371E-2</v>
      </c>
      <c r="D26" s="84">
        <v>1404</v>
      </c>
      <c r="F26" s="76"/>
      <c r="G26" s="76"/>
      <c r="H26" s="76"/>
      <c r="I26" s="76"/>
    </row>
    <row r="27" spans="2:11" x14ac:dyDescent="0.25">
      <c r="B27" s="7" t="s">
        <v>109</v>
      </c>
      <c r="C27" s="80">
        <v>9.8614237550568778E-2</v>
      </c>
      <c r="D27" s="84">
        <v>928.7</v>
      </c>
      <c r="F27" s="112" t="s">
        <v>110</v>
      </c>
      <c r="G27" s="113"/>
      <c r="H27" s="113"/>
      <c r="I27" s="113"/>
      <c r="J27" s="113"/>
      <c r="K27" s="113"/>
    </row>
    <row r="28" spans="2:11" x14ac:dyDescent="0.25">
      <c r="B28" s="85"/>
      <c r="C28" s="85"/>
      <c r="F28" s="113"/>
      <c r="G28" s="113"/>
      <c r="H28" s="113"/>
      <c r="I28" s="113"/>
      <c r="J28" s="113"/>
      <c r="K28" s="113"/>
    </row>
    <row r="29" spans="2:11" x14ac:dyDescent="0.25">
      <c r="B29" s="85"/>
      <c r="C29" s="85"/>
      <c r="D29" s="85"/>
      <c r="E29" s="85"/>
      <c r="F29" s="113"/>
      <c r="G29" s="113"/>
      <c r="H29" s="113"/>
      <c r="I29" s="113"/>
      <c r="J29" s="113"/>
      <c r="K29" s="113"/>
    </row>
    <row r="32" spans="2:11" x14ac:dyDescent="0.25">
      <c r="B32" s="65" t="s">
        <v>111</v>
      </c>
      <c r="C32" s="6"/>
      <c r="D32" s="6"/>
      <c r="E32" s="6"/>
      <c r="F32" s="6"/>
    </row>
    <row r="33" spans="2:16" x14ac:dyDescent="0.25">
      <c r="B33" s="6"/>
      <c r="C33" s="6"/>
      <c r="D33" s="6"/>
      <c r="E33" s="6"/>
      <c r="F33" s="6"/>
    </row>
    <row r="34" spans="2:16" x14ac:dyDescent="0.25">
      <c r="B34" s="121" t="s">
        <v>112</v>
      </c>
      <c r="C34" s="122"/>
      <c r="D34" s="123"/>
      <c r="E34" s="86"/>
      <c r="F34" s="6"/>
    </row>
    <row r="35" spans="2:16" x14ac:dyDescent="0.25">
      <c r="B35" s="124" t="s">
        <v>84</v>
      </c>
      <c r="C35" s="125"/>
      <c r="D35" s="126"/>
      <c r="E35" s="87"/>
      <c r="F35" s="67" t="s">
        <v>113</v>
      </c>
    </row>
    <row r="36" spans="2:16" x14ac:dyDescent="0.25">
      <c r="B36" s="69" t="s">
        <v>89</v>
      </c>
      <c r="C36" s="67" t="s">
        <v>114</v>
      </c>
      <c r="D36" s="67" t="s">
        <v>115</v>
      </c>
      <c r="E36" s="88"/>
      <c r="F36" s="78">
        <f>SUMPRODUCT(C37:C39,D37:D39)/SUM(D37:D39)</f>
        <v>0.76320678028475641</v>
      </c>
    </row>
    <row r="37" spans="2:16" x14ac:dyDescent="0.25">
      <c r="B37" s="89">
        <v>2019</v>
      </c>
      <c r="C37" s="90">
        <v>0.73991125204815089</v>
      </c>
      <c r="D37" s="91">
        <v>1636</v>
      </c>
      <c r="E37" s="92"/>
      <c r="F37" s="76"/>
    </row>
    <row r="38" spans="2:16" x14ac:dyDescent="0.25">
      <c r="B38" s="89">
        <v>2018</v>
      </c>
      <c r="C38" s="90">
        <v>0.79600000000000004</v>
      </c>
      <c r="D38" s="91">
        <v>1254</v>
      </c>
      <c r="E38" s="92"/>
      <c r="F38" s="76"/>
    </row>
    <row r="39" spans="2:16" x14ac:dyDescent="0.25">
      <c r="B39" s="89">
        <v>2017</v>
      </c>
      <c r="C39" s="93">
        <v>0.75900000000000001</v>
      </c>
      <c r="D39" s="91">
        <v>715.8</v>
      </c>
      <c r="E39" s="92"/>
      <c r="F39" s="76"/>
    </row>
    <row r="42" spans="2:16" x14ac:dyDescent="0.25">
      <c r="B42" s="65" t="s">
        <v>116</v>
      </c>
    </row>
    <row r="43" spans="2:16" x14ac:dyDescent="0.25">
      <c r="J43" s="66" t="s">
        <v>117</v>
      </c>
    </row>
    <row r="44" spans="2:16" x14ac:dyDescent="0.25">
      <c r="B44" s="114" t="s">
        <v>118</v>
      </c>
      <c r="C44" s="115"/>
      <c r="D44" s="115"/>
      <c r="E44" s="115"/>
      <c r="F44" s="115"/>
      <c r="G44" s="115"/>
      <c r="H44" s="116"/>
      <c r="J44" s="67" t="s">
        <v>119</v>
      </c>
      <c r="K44" s="67" t="s">
        <v>120</v>
      </c>
      <c r="L44" s="67" t="s">
        <v>121</v>
      </c>
    </row>
    <row r="45" spans="2:16" x14ac:dyDescent="0.25">
      <c r="B45" s="114" t="s">
        <v>84</v>
      </c>
      <c r="C45" s="115"/>
      <c r="D45" s="115"/>
      <c r="E45" s="115"/>
      <c r="F45" s="115"/>
      <c r="G45" s="115"/>
      <c r="H45" s="116"/>
      <c r="I45" s="8"/>
      <c r="J45" s="68">
        <f>SUMPRODUCT(C48:C57,D48:D57)/SUM(D48:D57)</f>
        <v>0.2927759782244963</v>
      </c>
      <c r="K45" s="68">
        <f>SUMPRODUCT(E48:E57,F48:F57)/SUM(F48:F57)</f>
        <v>0.63294808409448577</v>
      </c>
      <c r="L45" s="68">
        <f>SUMPRODUCT(G48:G57,H48:H57)/SUM(H48:H57)</f>
        <v>0.15765869631908233</v>
      </c>
    </row>
    <row r="46" spans="2:16" x14ac:dyDescent="0.25">
      <c r="B46" s="69" t="s">
        <v>85</v>
      </c>
      <c r="C46" s="117" t="s">
        <v>86</v>
      </c>
      <c r="D46" s="118"/>
      <c r="E46" s="117" t="s">
        <v>87</v>
      </c>
      <c r="F46" s="118"/>
      <c r="G46" s="119" t="s">
        <v>88</v>
      </c>
      <c r="H46" s="116"/>
      <c r="I46" s="8"/>
      <c r="J46" s="9"/>
      <c r="K46" s="9"/>
      <c r="L46" s="9"/>
    </row>
    <row r="47" spans="2:16" ht="75" customHeight="1" x14ac:dyDescent="0.25">
      <c r="B47" s="70" t="s">
        <v>89</v>
      </c>
      <c r="C47" s="71" t="s">
        <v>90</v>
      </c>
      <c r="D47" s="67" t="s">
        <v>91</v>
      </c>
      <c r="E47" s="71" t="s">
        <v>90</v>
      </c>
      <c r="F47" s="67" t="s">
        <v>91</v>
      </c>
      <c r="G47" s="71" t="s">
        <v>90</v>
      </c>
      <c r="H47" s="67" t="s">
        <v>91</v>
      </c>
      <c r="I47" s="8"/>
      <c r="J47" s="112" t="s">
        <v>122</v>
      </c>
      <c r="K47" s="113"/>
      <c r="L47" s="113"/>
      <c r="M47" s="113"/>
      <c r="N47" s="113"/>
      <c r="O47" s="113"/>
      <c r="P47" s="113"/>
    </row>
    <row r="48" spans="2:16" x14ac:dyDescent="0.25">
      <c r="B48" s="7">
        <v>2019</v>
      </c>
      <c r="C48" s="72">
        <v>0.34116315674188552</v>
      </c>
      <c r="D48" s="73">
        <v>4196.9999999999991</v>
      </c>
      <c r="E48" s="72">
        <v>0.75046786676932464</v>
      </c>
      <c r="F48" s="73">
        <v>2811.599999999999</v>
      </c>
      <c r="G48" s="72">
        <v>0.22154830011766849</v>
      </c>
      <c r="H48" s="73">
        <v>14949.9</v>
      </c>
      <c r="I48" s="8"/>
      <c r="J48" s="74"/>
      <c r="K48" s="74"/>
      <c r="L48" s="74"/>
      <c r="M48" s="74"/>
      <c r="N48" s="74"/>
      <c r="O48" s="74"/>
      <c r="P48" s="74"/>
    </row>
    <row r="49" spans="2:14" x14ac:dyDescent="0.25">
      <c r="B49" s="7">
        <v>2018</v>
      </c>
      <c r="C49" s="72">
        <v>0.25601248834214801</v>
      </c>
      <c r="D49" s="73">
        <v>4196.9999999999991</v>
      </c>
      <c r="E49" s="72">
        <v>0.52912898513289652</v>
      </c>
      <c r="F49" s="73">
        <v>2610.599999999999</v>
      </c>
      <c r="G49" s="72">
        <v>0.17106233441910609</v>
      </c>
      <c r="H49" s="73">
        <v>14289.900000000011</v>
      </c>
      <c r="I49" s="8"/>
      <c r="J49" s="74"/>
      <c r="K49" s="74"/>
      <c r="L49" s="74"/>
      <c r="M49" s="74"/>
      <c r="N49" s="74"/>
    </row>
    <row r="50" spans="2:14" x14ac:dyDescent="0.25">
      <c r="B50" s="7">
        <v>2017</v>
      </c>
      <c r="C50" s="72">
        <v>0.24883958852315741</v>
      </c>
      <c r="D50" s="73">
        <v>3171.2</v>
      </c>
      <c r="E50" s="72">
        <v>0.6292817913840355</v>
      </c>
      <c r="F50" s="73">
        <v>2038.4</v>
      </c>
      <c r="G50" s="72">
        <v>0.20176401393775659</v>
      </c>
      <c r="H50" s="73">
        <v>12241.20000000001</v>
      </c>
      <c r="I50" s="8"/>
      <c r="J50" s="74"/>
      <c r="K50" s="74"/>
      <c r="L50" s="74"/>
      <c r="M50" s="74"/>
      <c r="N50" s="74"/>
    </row>
    <row r="51" spans="2:14" x14ac:dyDescent="0.25">
      <c r="B51" s="7">
        <v>2016</v>
      </c>
      <c r="C51" s="72">
        <v>0.49428133427321469</v>
      </c>
      <c r="D51" s="73">
        <v>2126.6999999999998</v>
      </c>
      <c r="E51" s="72">
        <v>0.73561503428382313</v>
      </c>
      <c r="F51" s="73">
        <v>1873.4</v>
      </c>
      <c r="G51" s="72">
        <v>0.1824252259984637</v>
      </c>
      <c r="H51" s="73">
        <v>10447.5</v>
      </c>
      <c r="I51" s="8"/>
      <c r="J51" s="74"/>
      <c r="K51" s="74"/>
      <c r="L51" s="74"/>
      <c r="M51" s="74"/>
      <c r="N51" s="74"/>
    </row>
    <row r="52" spans="2:14" x14ac:dyDescent="0.25">
      <c r="B52" s="7">
        <v>2015</v>
      </c>
      <c r="C52" s="72">
        <v>0.1826144184016546</v>
      </c>
      <c r="D52" s="73">
        <v>1476.9</v>
      </c>
      <c r="E52" s="72">
        <v>0.52026024770856427</v>
      </c>
      <c r="F52" s="73">
        <v>1873.4</v>
      </c>
      <c r="G52" s="72">
        <v>0.1005204949508479</v>
      </c>
      <c r="H52" s="73">
        <v>9563.0000000000018</v>
      </c>
      <c r="I52" s="8"/>
      <c r="J52" s="8"/>
    </row>
    <row r="53" spans="2:14" x14ac:dyDescent="0.25">
      <c r="B53" s="7">
        <v>2014</v>
      </c>
      <c r="C53" s="72">
        <v>0.2113713102325222</v>
      </c>
      <c r="D53" s="73">
        <v>207</v>
      </c>
      <c r="E53" s="72">
        <v>0.60036662915372696</v>
      </c>
      <c r="F53" s="73">
        <v>1671.4</v>
      </c>
      <c r="G53" s="72">
        <v>0.20107020211013479</v>
      </c>
      <c r="H53" s="73">
        <v>8955.2000000000007</v>
      </c>
      <c r="I53" s="8"/>
      <c r="J53" s="8"/>
    </row>
    <row r="54" spans="2:14" x14ac:dyDescent="0.25">
      <c r="B54" s="7">
        <v>2013</v>
      </c>
      <c r="C54" s="72">
        <v>0.1092652979066023</v>
      </c>
      <c r="D54" s="73">
        <v>207</v>
      </c>
      <c r="E54" s="72">
        <v>0.76613110708566334</v>
      </c>
      <c r="F54" s="73">
        <v>1269.7</v>
      </c>
      <c r="G54" s="72">
        <v>0.12634046885236139</v>
      </c>
      <c r="H54" s="73">
        <v>8955.2000000000007</v>
      </c>
      <c r="I54" s="8"/>
      <c r="J54" s="8"/>
    </row>
    <row r="55" spans="2:14" x14ac:dyDescent="0.25">
      <c r="B55" s="7">
        <v>2012</v>
      </c>
      <c r="C55" s="72">
        <v>0.1013425925925926</v>
      </c>
      <c r="D55" s="73">
        <v>207</v>
      </c>
      <c r="E55" s="72">
        <v>0.52841491622905734</v>
      </c>
      <c r="F55" s="73">
        <v>1066.4000000000001</v>
      </c>
      <c r="G55" s="72">
        <v>7.8319401444788467E-2</v>
      </c>
      <c r="H55" s="73">
        <v>8074.9999999999991</v>
      </c>
      <c r="I55" s="8"/>
      <c r="J55" s="8"/>
    </row>
    <row r="56" spans="2:14" x14ac:dyDescent="0.25">
      <c r="B56" s="7">
        <v>2011</v>
      </c>
      <c r="C56" s="72">
        <v>0.1244552830422396</v>
      </c>
      <c r="D56" s="73">
        <v>207</v>
      </c>
      <c r="E56" s="72">
        <v>0.65962836786935797</v>
      </c>
      <c r="F56" s="73">
        <v>965.59999999999991</v>
      </c>
      <c r="G56" s="72">
        <v>0.1277932825151569</v>
      </c>
      <c r="H56" s="73">
        <v>7746.4999999999991</v>
      </c>
    </row>
    <row r="57" spans="2:14" x14ac:dyDescent="0.25">
      <c r="B57" s="7">
        <v>2010</v>
      </c>
      <c r="C57" s="72">
        <v>7.0598184223707811E-2</v>
      </c>
      <c r="D57" s="73">
        <v>207</v>
      </c>
      <c r="E57" s="72">
        <v>0.24690247300601109</v>
      </c>
      <c r="F57" s="73">
        <v>160.80000000000001</v>
      </c>
      <c r="G57" s="72">
        <v>6.2330849606993519E-2</v>
      </c>
      <c r="H57" s="73">
        <v>6663.3000000000011</v>
      </c>
    </row>
  </sheetData>
  <mergeCells count="17">
    <mergeCell ref="B35:D35"/>
    <mergeCell ref="B3:H3"/>
    <mergeCell ref="B4:H4"/>
    <mergeCell ref="C5:D5"/>
    <mergeCell ref="E5:F5"/>
    <mergeCell ref="G5:H5"/>
    <mergeCell ref="J6:P6"/>
    <mergeCell ref="B22:D22"/>
    <mergeCell ref="B23:D23"/>
    <mergeCell ref="F27:K29"/>
    <mergeCell ref="B34:D34"/>
    <mergeCell ref="J47:P47"/>
    <mergeCell ref="B44:H44"/>
    <mergeCell ref="B45:H45"/>
    <mergeCell ref="C46:D46"/>
    <mergeCell ref="E46:F46"/>
    <mergeCell ref="G46:H46"/>
  </mergeCell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1"/>
  <sheetViews>
    <sheetView showGridLines="0" workbookViewId="0"/>
  </sheetViews>
  <sheetFormatPr defaultColWidth="8.140625" defaultRowHeight="15" x14ac:dyDescent="0.25"/>
  <sheetData>
    <row r="1" spans="1:14" x14ac:dyDescent="0.25">
      <c r="A1" s="25" t="s">
        <v>123</v>
      </c>
      <c r="B1" s="26"/>
      <c r="C1" s="26"/>
      <c r="D1" s="27"/>
      <c r="E1" s="27"/>
      <c r="F1" s="27"/>
      <c r="G1" s="27"/>
      <c r="H1" s="27"/>
      <c r="I1" s="27"/>
      <c r="J1" s="27"/>
      <c r="K1" s="27"/>
      <c r="L1" s="27"/>
      <c r="M1" s="27"/>
      <c r="N1" s="27"/>
    </row>
    <row r="2" spans="1:14" x14ac:dyDescent="0.25">
      <c r="A2" s="25" t="s">
        <v>124</v>
      </c>
      <c r="B2" s="26"/>
      <c r="C2" s="26"/>
      <c r="D2" s="27"/>
      <c r="E2" s="27"/>
      <c r="F2" s="27"/>
      <c r="G2" s="27"/>
      <c r="H2" s="27"/>
      <c r="I2" s="27"/>
      <c r="J2" s="27"/>
      <c r="K2" s="27"/>
      <c r="L2" s="27"/>
      <c r="M2" s="27"/>
      <c r="N2" s="27"/>
    </row>
    <row r="3" spans="1:14" x14ac:dyDescent="0.25">
      <c r="A3" s="25"/>
      <c r="B3" s="26"/>
      <c r="C3" s="26"/>
      <c r="D3" s="27"/>
      <c r="E3" s="27"/>
      <c r="F3" s="27"/>
      <c r="G3" s="27"/>
      <c r="H3" s="27"/>
      <c r="I3" s="27"/>
      <c r="J3" s="27"/>
      <c r="K3" s="27"/>
      <c r="L3" s="27"/>
      <c r="M3" s="27"/>
      <c r="N3" s="27"/>
    </row>
    <row r="4" spans="1:14" ht="15.75" customHeight="1" x14ac:dyDescent="0.25">
      <c r="A4" s="28" t="s">
        <v>125</v>
      </c>
      <c r="B4" s="27"/>
      <c r="C4" s="27"/>
      <c r="D4" s="29"/>
      <c r="E4" s="27"/>
      <c r="F4" s="27"/>
      <c r="G4" s="27"/>
      <c r="H4" s="27"/>
      <c r="I4" s="27"/>
      <c r="J4" s="27"/>
      <c r="K4" s="27"/>
      <c r="L4" s="27"/>
      <c r="M4" s="27"/>
      <c r="N4" s="27"/>
    </row>
    <row r="5" spans="1:14" ht="15.75" customHeight="1" x14ac:dyDescent="0.25">
      <c r="A5" s="28" t="s">
        <v>126</v>
      </c>
      <c r="B5" s="27"/>
      <c r="C5" s="27"/>
      <c r="D5" s="29"/>
      <c r="E5" s="27"/>
      <c r="F5" s="27"/>
      <c r="G5" s="27"/>
      <c r="H5" s="27"/>
      <c r="I5" s="27"/>
      <c r="J5" s="27"/>
      <c r="K5" s="27"/>
      <c r="L5" s="27"/>
      <c r="M5" s="27"/>
      <c r="N5" s="27"/>
    </row>
    <row r="6" spans="1:14" x14ac:dyDescent="0.25">
      <c r="A6" s="15" t="s">
        <v>127</v>
      </c>
      <c r="B6" s="27"/>
      <c r="C6" s="27"/>
      <c r="D6" s="27"/>
      <c r="E6" s="27"/>
      <c r="F6" s="27"/>
      <c r="G6" s="27"/>
      <c r="H6" s="27"/>
      <c r="I6" s="27"/>
      <c r="J6" s="27"/>
      <c r="K6" s="27"/>
      <c r="L6" s="27"/>
      <c r="M6" s="27"/>
      <c r="N6" s="27"/>
    </row>
    <row r="7" spans="1:14" x14ac:dyDescent="0.25">
      <c r="A7" s="40"/>
      <c r="B7" s="27"/>
      <c r="C7" s="27"/>
      <c r="D7" s="27"/>
      <c r="E7" s="27"/>
      <c r="F7" s="27"/>
      <c r="G7" s="27"/>
      <c r="H7" s="27"/>
      <c r="I7" s="27"/>
      <c r="J7" s="27"/>
      <c r="K7" s="27"/>
      <c r="L7" s="27"/>
      <c r="M7" s="27"/>
      <c r="N7" s="27"/>
    </row>
    <row r="8" spans="1:14" ht="24" customHeight="1" thickBot="1" x14ac:dyDescent="0.3">
      <c r="A8" s="41" t="s">
        <v>128</v>
      </c>
      <c r="B8" s="19" t="s">
        <v>89</v>
      </c>
      <c r="C8" s="19" t="s">
        <v>129</v>
      </c>
      <c r="D8" s="19" t="s">
        <v>130</v>
      </c>
      <c r="E8" s="19" t="s">
        <v>131</v>
      </c>
      <c r="F8" s="19" t="s">
        <v>132</v>
      </c>
      <c r="G8" s="19" t="s">
        <v>133</v>
      </c>
      <c r="H8" s="19" t="s">
        <v>134</v>
      </c>
      <c r="I8" s="19" t="s">
        <v>135</v>
      </c>
      <c r="J8" s="19" t="s">
        <v>136</v>
      </c>
      <c r="K8" s="19" t="s">
        <v>137</v>
      </c>
      <c r="L8" s="19" t="s">
        <v>138</v>
      </c>
      <c r="M8" s="19" t="s">
        <v>139</v>
      </c>
      <c r="N8" s="19" t="s">
        <v>140</v>
      </c>
    </row>
    <row r="9" spans="1:14" ht="15.75" customHeight="1" thickTop="1" x14ac:dyDescent="0.25">
      <c r="A9" s="127" t="s">
        <v>141</v>
      </c>
      <c r="B9" s="42">
        <v>1996</v>
      </c>
      <c r="C9" s="31">
        <v>95306</v>
      </c>
      <c r="D9" s="31">
        <v>94878</v>
      </c>
      <c r="E9" s="31">
        <v>86486</v>
      </c>
      <c r="F9" s="31">
        <v>89912</v>
      </c>
      <c r="G9" s="31">
        <v>91930</v>
      </c>
      <c r="H9" s="31">
        <v>99203</v>
      </c>
      <c r="I9" s="31">
        <v>108739</v>
      </c>
      <c r="J9" s="31">
        <v>107790</v>
      </c>
      <c r="K9" s="31">
        <v>98006</v>
      </c>
      <c r="L9" s="31">
        <v>95427</v>
      </c>
      <c r="M9" s="31">
        <v>87466</v>
      </c>
      <c r="N9" s="31">
        <v>94331</v>
      </c>
    </row>
    <row r="10" spans="1:14" x14ac:dyDescent="0.25">
      <c r="A10" s="113"/>
      <c r="B10" s="34">
        <v>1997</v>
      </c>
      <c r="C10" s="33">
        <v>95886</v>
      </c>
      <c r="D10" s="33">
        <v>89483</v>
      </c>
      <c r="E10" s="33">
        <v>89505</v>
      </c>
      <c r="F10" s="33">
        <v>88124</v>
      </c>
      <c r="G10" s="33">
        <v>99796</v>
      </c>
      <c r="H10" s="33">
        <v>98340</v>
      </c>
      <c r="I10" s="33">
        <v>104361</v>
      </c>
      <c r="J10" s="33">
        <v>110001</v>
      </c>
      <c r="K10" s="33">
        <v>105659</v>
      </c>
      <c r="L10" s="33">
        <v>95236</v>
      </c>
      <c r="M10" s="33">
        <v>89470</v>
      </c>
      <c r="N10" s="33">
        <v>93132</v>
      </c>
    </row>
    <row r="11" spans="1:14" x14ac:dyDescent="0.25">
      <c r="A11" s="113"/>
      <c r="B11" s="34">
        <v>1998</v>
      </c>
      <c r="C11" s="33">
        <v>95102</v>
      </c>
      <c r="D11" s="33">
        <v>90267</v>
      </c>
      <c r="E11" s="33">
        <v>89009</v>
      </c>
      <c r="F11" s="33">
        <v>88242</v>
      </c>
      <c r="G11" s="33">
        <v>84051</v>
      </c>
      <c r="H11" s="33">
        <v>97617</v>
      </c>
      <c r="I11" s="33">
        <v>111830</v>
      </c>
      <c r="J11" s="33">
        <v>115921</v>
      </c>
      <c r="K11" s="33">
        <v>112705</v>
      </c>
      <c r="L11" s="33">
        <v>92543</v>
      </c>
      <c r="M11" s="33">
        <v>88524</v>
      </c>
      <c r="N11" s="33">
        <v>101822</v>
      </c>
    </row>
    <row r="12" spans="1:14" x14ac:dyDescent="0.25">
      <c r="A12" s="113"/>
      <c r="B12" s="34">
        <v>1999</v>
      </c>
      <c r="C12" s="33">
        <v>91641</v>
      </c>
      <c r="D12" s="33">
        <v>91773</v>
      </c>
      <c r="E12" s="33">
        <v>87599</v>
      </c>
      <c r="F12" s="33">
        <v>87821</v>
      </c>
      <c r="G12" s="33">
        <v>91165</v>
      </c>
      <c r="H12" s="33">
        <v>105404</v>
      </c>
      <c r="I12" s="33">
        <v>113629</v>
      </c>
      <c r="J12" s="33">
        <v>109873</v>
      </c>
      <c r="K12" s="33">
        <v>102526</v>
      </c>
      <c r="L12" s="33">
        <v>96329</v>
      </c>
      <c r="M12" s="33">
        <v>90741</v>
      </c>
      <c r="N12" s="33">
        <v>96875</v>
      </c>
    </row>
    <row r="13" spans="1:14" x14ac:dyDescent="0.25">
      <c r="A13" s="113"/>
      <c r="B13" s="34">
        <v>2000</v>
      </c>
      <c r="C13" s="33">
        <v>95673</v>
      </c>
      <c r="D13" s="33">
        <v>91627</v>
      </c>
      <c r="E13" s="33">
        <v>91044</v>
      </c>
      <c r="F13" s="33">
        <v>94250</v>
      </c>
      <c r="G13" s="33">
        <v>104053</v>
      </c>
      <c r="H13" s="33">
        <v>111600</v>
      </c>
      <c r="I13" s="33">
        <v>114472</v>
      </c>
      <c r="J13" s="33">
        <v>114602</v>
      </c>
      <c r="K13" s="33">
        <v>107797</v>
      </c>
      <c r="L13" s="33">
        <v>97398</v>
      </c>
      <c r="M13" s="33">
        <v>95483</v>
      </c>
      <c r="N13" s="33">
        <v>97324</v>
      </c>
    </row>
    <row r="14" spans="1:14" x14ac:dyDescent="0.25">
      <c r="A14" s="113"/>
      <c r="B14" s="34">
        <v>2001</v>
      </c>
      <c r="C14" s="33">
        <v>96766</v>
      </c>
      <c r="D14" s="33">
        <v>93801</v>
      </c>
      <c r="E14" s="33">
        <v>87641</v>
      </c>
      <c r="F14" s="33">
        <v>90023</v>
      </c>
      <c r="G14" s="33">
        <v>100484</v>
      </c>
      <c r="H14" s="33">
        <v>105427</v>
      </c>
      <c r="I14" s="33">
        <v>108629</v>
      </c>
      <c r="J14" s="33">
        <v>109119</v>
      </c>
      <c r="K14" s="33">
        <v>101320</v>
      </c>
      <c r="L14" s="33">
        <v>97762</v>
      </c>
      <c r="M14" s="33">
        <v>91851</v>
      </c>
      <c r="N14" s="33">
        <v>95286</v>
      </c>
    </row>
    <row r="15" spans="1:14" x14ac:dyDescent="0.25">
      <c r="A15" s="113"/>
      <c r="B15" s="34">
        <v>2002</v>
      </c>
      <c r="C15" s="33">
        <v>96555</v>
      </c>
      <c r="D15" s="33">
        <v>93195</v>
      </c>
      <c r="E15" s="33">
        <v>90041</v>
      </c>
      <c r="F15" s="33">
        <v>88714</v>
      </c>
      <c r="G15" s="33">
        <v>104110</v>
      </c>
      <c r="H15" s="33">
        <v>111108</v>
      </c>
      <c r="I15" s="33">
        <v>119074</v>
      </c>
      <c r="J15" s="33">
        <v>114763</v>
      </c>
      <c r="K15" s="33">
        <v>111475</v>
      </c>
      <c r="L15" s="33">
        <v>99967</v>
      </c>
      <c r="M15" s="33">
        <v>92834</v>
      </c>
      <c r="N15" s="33">
        <v>95951</v>
      </c>
    </row>
    <row r="16" spans="1:14" x14ac:dyDescent="0.25">
      <c r="A16" s="113"/>
      <c r="B16" s="34">
        <v>2003</v>
      </c>
      <c r="C16" s="33">
        <v>92602</v>
      </c>
      <c r="D16" s="33">
        <v>93831</v>
      </c>
      <c r="E16" s="33">
        <v>91002</v>
      </c>
      <c r="F16" s="33">
        <v>89713</v>
      </c>
      <c r="G16" s="33">
        <v>110358</v>
      </c>
      <c r="H16" s="33">
        <v>112627</v>
      </c>
      <c r="I16" s="33">
        <v>122537</v>
      </c>
      <c r="J16" s="33">
        <v>119473</v>
      </c>
      <c r="K16" s="33">
        <v>113594</v>
      </c>
      <c r="L16" s="33">
        <v>103327</v>
      </c>
      <c r="M16" s="33">
        <v>94291</v>
      </c>
      <c r="N16" s="33">
        <v>99793</v>
      </c>
    </row>
    <row r="17" spans="1:14" x14ac:dyDescent="0.25">
      <c r="A17" s="113"/>
      <c r="B17" s="34">
        <v>2004</v>
      </c>
      <c r="C17" s="33">
        <v>102049</v>
      </c>
      <c r="D17" s="33">
        <v>95546</v>
      </c>
      <c r="E17" s="33">
        <v>95191</v>
      </c>
      <c r="F17" s="33">
        <v>101654</v>
      </c>
      <c r="G17" s="33">
        <v>105503</v>
      </c>
      <c r="H17" s="33">
        <v>111143</v>
      </c>
      <c r="I17" s="33">
        <v>123136</v>
      </c>
      <c r="J17" s="33">
        <v>122922</v>
      </c>
      <c r="K17" s="33">
        <v>116784</v>
      </c>
      <c r="L17" s="33">
        <v>96429</v>
      </c>
      <c r="M17" s="33">
        <v>100001</v>
      </c>
      <c r="N17" s="33">
        <v>101541</v>
      </c>
    </row>
    <row r="18" spans="1:14" x14ac:dyDescent="0.25">
      <c r="A18" s="113"/>
      <c r="B18" s="34">
        <v>2005</v>
      </c>
      <c r="C18" s="33">
        <v>102464</v>
      </c>
      <c r="D18" s="33">
        <v>96789</v>
      </c>
      <c r="E18" s="33">
        <v>90859</v>
      </c>
      <c r="F18" s="33">
        <v>90623</v>
      </c>
      <c r="G18" s="33">
        <v>106680</v>
      </c>
      <c r="H18" s="33">
        <v>115821</v>
      </c>
      <c r="I18" s="33">
        <v>130760</v>
      </c>
      <c r="J18" s="33">
        <v>125253</v>
      </c>
      <c r="K18" s="33">
        <v>113824</v>
      </c>
      <c r="L18" s="33">
        <v>101470</v>
      </c>
      <c r="M18" s="33">
        <v>100361</v>
      </c>
      <c r="N18" s="33">
        <v>107493</v>
      </c>
    </row>
    <row r="19" spans="1:14" x14ac:dyDescent="0.25">
      <c r="A19" s="113"/>
      <c r="B19" s="34">
        <v>2006</v>
      </c>
      <c r="C19" s="33">
        <v>99571</v>
      </c>
      <c r="D19" s="33">
        <v>101154</v>
      </c>
      <c r="E19" s="33">
        <v>97101</v>
      </c>
      <c r="F19" s="33">
        <v>93098</v>
      </c>
      <c r="G19" s="33">
        <v>110713</v>
      </c>
      <c r="H19" s="33">
        <v>129742</v>
      </c>
      <c r="I19" s="33">
        <v>142096</v>
      </c>
      <c r="J19" s="33">
        <v>127749</v>
      </c>
      <c r="K19" s="33">
        <v>122420</v>
      </c>
      <c r="L19" s="33">
        <v>103797</v>
      </c>
      <c r="M19" s="33">
        <v>107335</v>
      </c>
      <c r="N19" s="33">
        <v>108617</v>
      </c>
    </row>
    <row r="20" spans="1:14" x14ac:dyDescent="0.25">
      <c r="A20" s="113"/>
      <c r="B20" s="34">
        <v>2007</v>
      </c>
      <c r="C20" s="33">
        <v>107097</v>
      </c>
      <c r="D20" s="33">
        <v>101215</v>
      </c>
      <c r="E20" s="33">
        <v>98234</v>
      </c>
      <c r="F20" s="33">
        <v>98980</v>
      </c>
      <c r="G20" s="33">
        <v>107541</v>
      </c>
      <c r="H20" s="33">
        <v>126064</v>
      </c>
      <c r="I20" s="33">
        <v>137488</v>
      </c>
      <c r="J20" s="33">
        <v>139389</v>
      </c>
      <c r="K20" s="33">
        <v>128226</v>
      </c>
      <c r="L20" s="33">
        <v>99594</v>
      </c>
      <c r="M20" s="33">
        <v>100700</v>
      </c>
      <c r="N20" s="33">
        <v>109607</v>
      </c>
    </row>
    <row r="21" spans="1:14" x14ac:dyDescent="0.25">
      <c r="A21" s="113"/>
      <c r="B21" s="34">
        <v>2008</v>
      </c>
      <c r="C21" s="33">
        <v>110395</v>
      </c>
      <c r="D21" s="33">
        <v>104200</v>
      </c>
      <c r="E21" s="33">
        <v>97743</v>
      </c>
      <c r="F21" s="33">
        <v>106357</v>
      </c>
      <c r="G21" s="33">
        <v>120959</v>
      </c>
      <c r="H21" s="33">
        <v>134781</v>
      </c>
      <c r="I21" s="33">
        <v>134052</v>
      </c>
      <c r="J21" s="33">
        <v>134829</v>
      </c>
      <c r="K21" s="33">
        <v>122386</v>
      </c>
      <c r="L21" s="33">
        <v>115877</v>
      </c>
      <c r="M21" s="33">
        <v>100056</v>
      </c>
      <c r="N21" s="33">
        <v>113605</v>
      </c>
    </row>
    <row r="22" spans="1:14" x14ac:dyDescent="0.25">
      <c r="A22" s="113"/>
      <c r="B22" s="34">
        <v>2009</v>
      </c>
      <c r="C22" s="33">
        <v>100194.51304332539</v>
      </c>
      <c r="D22" s="33">
        <v>97674.208515478109</v>
      </c>
      <c r="E22" s="33">
        <v>91682.154489776469</v>
      </c>
      <c r="F22" s="33">
        <v>99806.483363308755</v>
      </c>
      <c r="G22" s="33">
        <v>107913.4993681777</v>
      </c>
      <c r="H22" s="33">
        <v>116680.3123409244</v>
      </c>
      <c r="I22" s="33">
        <v>128245.1008128719</v>
      </c>
      <c r="J22" s="33">
        <v>122834.9866543165</v>
      </c>
      <c r="K22" s="33">
        <v>122255.85480701071</v>
      </c>
      <c r="L22" s="33">
        <v>91636.167316187202</v>
      </c>
      <c r="M22" s="33">
        <v>94362.261244592621</v>
      </c>
      <c r="N22" s="33">
        <v>109564.8850306418</v>
      </c>
    </row>
    <row r="23" spans="1:14" x14ac:dyDescent="0.25">
      <c r="A23" s="113"/>
      <c r="B23" s="34">
        <v>2010</v>
      </c>
      <c r="C23" s="33">
        <v>97438.818253235149</v>
      </c>
      <c r="D23" s="33">
        <v>94017.723524784</v>
      </c>
      <c r="E23" s="33">
        <v>92308.422193973442</v>
      </c>
      <c r="F23" s="33">
        <v>84578.014577471011</v>
      </c>
      <c r="G23" s="33">
        <v>89817.802151359996</v>
      </c>
      <c r="H23" s="33">
        <v>115881.5406371736</v>
      </c>
      <c r="I23" s="33">
        <v>129312.25214159751</v>
      </c>
      <c r="J23" s="33">
        <v>129352.3546492553</v>
      </c>
      <c r="K23" s="33">
        <v>119103.52292863021</v>
      </c>
      <c r="L23" s="33">
        <v>104602.7579411878</v>
      </c>
      <c r="M23" s="33">
        <v>102044.0703448889</v>
      </c>
      <c r="N23" s="33">
        <v>101667.6681690949</v>
      </c>
    </row>
    <row r="24" spans="1:14" x14ac:dyDescent="0.25">
      <c r="A24" s="113"/>
      <c r="B24" s="34">
        <v>2011</v>
      </c>
      <c r="C24" s="33">
        <v>105582.1</v>
      </c>
      <c r="D24" s="33">
        <v>101595.7</v>
      </c>
      <c r="E24" s="33">
        <v>97085</v>
      </c>
      <c r="F24" s="33">
        <v>99124</v>
      </c>
      <c r="G24" s="33">
        <v>112650</v>
      </c>
      <c r="H24" s="33">
        <v>125732</v>
      </c>
      <c r="I24" s="33">
        <v>136801</v>
      </c>
      <c r="J24" s="33">
        <v>137454</v>
      </c>
      <c r="K24" s="33">
        <v>123796</v>
      </c>
      <c r="L24" s="33">
        <v>106417</v>
      </c>
      <c r="M24" s="33">
        <v>102338</v>
      </c>
      <c r="N24" s="33">
        <v>109297</v>
      </c>
    </row>
    <row r="25" spans="1:14" x14ac:dyDescent="0.25">
      <c r="A25" s="113"/>
      <c r="B25" s="34">
        <v>2012</v>
      </c>
      <c r="C25" s="33">
        <v>99231.717266199979</v>
      </c>
      <c r="D25" s="33">
        <v>95158.910542799989</v>
      </c>
      <c r="E25" s="33">
        <v>92024.959500900004</v>
      </c>
      <c r="F25" s="33">
        <v>91159.686882599999</v>
      </c>
      <c r="G25" s="33">
        <v>106556.2327176</v>
      </c>
      <c r="H25" s="33">
        <v>112466.78040059999</v>
      </c>
      <c r="I25" s="33">
        <v>126111.8747538</v>
      </c>
      <c r="J25" s="33">
        <v>130465.0099702</v>
      </c>
      <c r="K25" s="33">
        <v>116544.41500189999</v>
      </c>
      <c r="L25" s="33">
        <v>110180.89660170001</v>
      </c>
      <c r="M25" s="33">
        <v>94676.323160899978</v>
      </c>
      <c r="N25" s="33">
        <v>101705.7701256</v>
      </c>
    </row>
    <row r="26" spans="1:14" x14ac:dyDescent="0.25">
      <c r="A26" s="113"/>
      <c r="B26" s="34">
        <v>2013</v>
      </c>
      <c r="C26" s="33">
        <v>107887.4624364617</v>
      </c>
      <c r="D26" s="33">
        <v>96637.40545621069</v>
      </c>
      <c r="E26" s="33">
        <v>92153.853424917106</v>
      </c>
      <c r="F26" s="33">
        <v>96035.77093541887</v>
      </c>
      <c r="G26" s="33">
        <v>109893.4053475321</v>
      </c>
      <c r="H26" s="33">
        <v>132218.1289374257</v>
      </c>
      <c r="I26" s="33">
        <v>132874.95057751719</v>
      </c>
      <c r="J26" s="33">
        <v>124539.9772085584</v>
      </c>
      <c r="K26" s="33">
        <v>122621.6608797064</v>
      </c>
      <c r="L26" s="33">
        <v>92610.455746985681</v>
      </c>
      <c r="M26" s="33">
        <v>96165.349952272853</v>
      </c>
      <c r="N26" s="33">
        <v>110764.9549288713</v>
      </c>
    </row>
    <row r="27" spans="1:14" x14ac:dyDescent="0.25">
      <c r="A27" s="113"/>
      <c r="B27" s="34">
        <v>2014</v>
      </c>
      <c r="C27" s="36">
        <v>98544.5</v>
      </c>
      <c r="D27" s="36">
        <v>102651</v>
      </c>
      <c r="E27" s="36">
        <v>90891.199999999997</v>
      </c>
      <c r="F27" s="36">
        <v>92171.5</v>
      </c>
      <c r="G27" s="36">
        <v>109608.4</v>
      </c>
      <c r="H27" s="36">
        <v>121659</v>
      </c>
      <c r="I27" s="36">
        <v>127091.5</v>
      </c>
      <c r="J27" s="36">
        <v>123491.9</v>
      </c>
      <c r="K27" s="36">
        <v>120703.1</v>
      </c>
      <c r="L27" s="36">
        <v>102898.3</v>
      </c>
      <c r="M27" s="36">
        <v>97935.6</v>
      </c>
      <c r="N27" s="36">
        <v>104204.5</v>
      </c>
    </row>
    <row r="28" spans="1:14" x14ac:dyDescent="0.25">
      <c r="A28" s="113"/>
      <c r="B28" s="34">
        <v>2015</v>
      </c>
      <c r="C28" s="39">
        <v>98255</v>
      </c>
      <c r="D28" s="39">
        <v>91813</v>
      </c>
      <c r="E28" s="39">
        <v>91099</v>
      </c>
      <c r="F28" s="39">
        <v>96226</v>
      </c>
      <c r="G28" s="39">
        <v>97113</v>
      </c>
      <c r="H28" s="39">
        <v>131072</v>
      </c>
      <c r="I28" s="39">
        <v>127132</v>
      </c>
      <c r="J28" s="39">
        <v>128684</v>
      </c>
      <c r="K28" s="39">
        <v>123540</v>
      </c>
      <c r="L28" s="39">
        <v>108935</v>
      </c>
      <c r="M28" s="39">
        <v>101143</v>
      </c>
      <c r="N28" s="39">
        <v>101457</v>
      </c>
    </row>
    <row r="29" spans="1:14" x14ac:dyDescent="0.25">
      <c r="A29" s="113"/>
      <c r="B29" s="34">
        <v>2016</v>
      </c>
      <c r="C29" s="38">
        <v>100315</v>
      </c>
      <c r="D29" s="38">
        <v>99421</v>
      </c>
      <c r="E29" s="38">
        <v>91447</v>
      </c>
      <c r="F29" s="38">
        <v>92268</v>
      </c>
      <c r="G29" s="38">
        <v>103561</v>
      </c>
      <c r="H29" s="38">
        <v>133247</v>
      </c>
      <c r="I29" s="38">
        <v>139431</v>
      </c>
      <c r="J29" s="38">
        <v>131343</v>
      </c>
      <c r="K29" s="38">
        <v>115093</v>
      </c>
      <c r="L29" s="38">
        <v>96692</v>
      </c>
      <c r="M29" s="38">
        <v>96181</v>
      </c>
      <c r="N29" s="38">
        <v>10400</v>
      </c>
    </row>
    <row r="30" spans="1:14" x14ac:dyDescent="0.25">
      <c r="A30" s="32" t="s">
        <v>142</v>
      </c>
      <c r="B30" s="34" t="s">
        <v>143</v>
      </c>
      <c r="C30" s="38">
        <v>104737</v>
      </c>
      <c r="D30" s="38">
        <v>102180</v>
      </c>
      <c r="E30" s="38">
        <v>98101</v>
      </c>
      <c r="F30" s="38">
        <v>93343</v>
      </c>
      <c r="G30" s="38">
        <v>108475</v>
      </c>
      <c r="H30" s="38">
        <v>125996</v>
      </c>
      <c r="I30" s="38">
        <v>131791</v>
      </c>
      <c r="J30" s="38">
        <v>133410</v>
      </c>
      <c r="K30" s="38">
        <v>125256</v>
      </c>
      <c r="L30" s="38">
        <v>104962</v>
      </c>
      <c r="M30" s="38">
        <v>102551</v>
      </c>
      <c r="N30" s="38">
        <v>110022</v>
      </c>
    </row>
    <row r="31" spans="1:14" x14ac:dyDescent="0.25">
      <c r="B31" s="34" t="s">
        <v>144</v>
      </c>
      <c r="C31" s="38">
        <v>105492</v>
      </c>
      <c r="D31" s="38">
        <v>102228</v>
      </c>
      <c r="E31" s="38">
        <v>97638</v>
      </c>
      <c r="F31" s="38">
        <v>94039</v>
      </c>
      <c r="G31" s="38">
        <v>109456</v>
      </c>
      <c r="H31" s="38">
        <v>128140</v>
      </c>
      <c r="I31" s="38">
        <v>132648</v>
      </c>
      <c r="J31" s="38">
        <v>132558</v>
      </c>
      <c r="K31" s="38">
        <v>127899</v>
      </c>
      <c r="L31" s="38">
        <v>106243</v>
      </c>
      <c r="M31" s="38">
        <v>102527</v>
      </c>
      <c r="N31" s="38">
        <v>110955</v>
      </c>
    </row>
  </sheetData>
  <mergeCells count="1">
    <mergeCell ref="A9:A29"/>
  </mergeCells>
  <pageMargins left="0.5" right="0.5" top="0.75" bottom="0.75" header="0.3" footer="0.3"/>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1"/>
  <sheetViews>
    <sheetView showGridLines="0" workbookViewId="0"/>
  </sheetViews>
  <sheetFormatPr defaultColWidth="8.140625" defaultRowHeight="15" x14ac:dyDescent="0.25"/>
  <sheetData>
    <row r="1" spans="1:14" x14ac:dyDescent="0.25">
      <c r="A1" s="25" t="s">
        <v>123</v>
      </c>
      <c r="B1" s="26"/>
      <c r="C1" s="26"/>
      <c r="D1" s="27"/>
      <c r="E1" s="27"/>
      <c r="F1" s="27"/>
      <c r="G1" s="27"/>
      <c r="H1" s="27"/>
      <c r="I1" s="27"/>
      <c r="J1" s="27"/>
      <c r="K1" s="27"/>
      <c r="L1" s="27"/>
      <c r="M1" s="27"/>
      <c r="N1" s="27"/>
    </row>
    <row r="2" spans="1:14" x14ac:dyDescent="0.25">
      <c r="A2" s="25" t="s">
        <v>124</v>
      </c>
      <c r="B2" s="26"/>
      <c r="C2" s="26"/>
      <c r="D2" s="27"/>
      <c r="E2" s="27"/>
      <c r="F2" s="27"/>
      <c r="G2" s="27"/>
      <c r="H2" s="27"/>
      <c r="I2" s="27"/>
      <c r="J2" s="27"/>
      <c r="K2" s="27"/>
      <c r="L2" s="27"/>
      <c r="M2" s="27"/>
      <c r="N2" s="27"/>
    </row>
    <row r="3" spans="1:14" x14ac:dyDescent="0.25">
      <c r="A3" s="25"/>
      <c r="B3" s="26"/>
      <c r="C3" s="26"/>
      <c r="D3" s="27"/>
      <c r="E3" s="27"/>
      <c r="F3" s="27"/>
      <c r="G3" s="27"/>
      <c r="H3" s="27"/>
      <c r="I3" s="27"/>
      <c r="J3" s="27"/>
      <c r="K3" s="27"/>
      <c r="L3" s="27"/>
      <c r="M3" s="27"/>
      <c r="N3" s="27"/>
    </row>
    <row r="4" spans="1:14" ht="15.75" customHeight="1" x14ac:dyDescent="0.25">
      <c r="A4" s="28" t="s">
        <v>145</v>
      </c>
      <c r="B4" s="27"/>
      <c r="C4" s="27"/>
      <c r="D4" s="29"/>
      <c r="E4" s="27"/>
      <c r="F4" s="27"/>
      <c r="G4" s="27"/>
      <c r="H4" s="27"/>
      <c r="I4" s="27"/>
      <c r="J4" s="27"/>
      <c r="K4" s="27"/>
      <c r="L4" s="27"/>
      <c r="M4" s="27"/>
      <c r="N4" s="27"/>
    </row>
    <row r="5" spans="1:14" ht="15.75" customHeight="1" x14ac:dyDescent="0.25">
      <c r="A5" s="28" t="s">
        <v>126</v>
      </c>
      <c r="B5" s="27"/>
      <c r="C5" s="27"/>
      <c r="D5" s="29"/>
      <c r="E5" s="27"/>
      <c r="F5" s="27"/>
      <c r="G5" s="27"/>
      <c r="H5" s="27"/>
      <c r="I5" s="27"/>
      <c r="J5" s="27"/>
      <c r="K5" s="27"/>
      <c r="L5" s="27"/>
      <c r="M5" s="27"/>
      <c r="N5" s="27"/>
    </row>
    <row r="6" spans="1:14" x14ac:dyDescent="0.25">
      <c r="A6" s="15" t="s">
        <v>127</v>
      </c>
      <c r="B6" s="27"/>
      <c r="C6" s="27"/>
      <c r="D6" s="27"/>
      <c r="E6" s="27"/>
      <c r="F6" s="27"/>
      <c r="G6" s="27"/>
      <c r="H6" s="27"/>
      <c r="I6" s="27"/>
      <c r="J6" s="27"/>
      <c r="K6" s="27"/>
      <c r="L6" s="27"/>
      <c r="M6" s="27"/>
      <c r="N6" s="27"/>
    </row>
    <row r="7" spans="1:14" x14ac:dyDescent="0.25">
      <c r="A7" s="40"/>
      <c r="B7" s="27"/>
      <c r="C7" s="27"/>
      <c r="D7" s="27"/>
      <c r="E7" s="27"/>
      <c r="F7" s="27"/>
      <c r="G7" s="27"/>
      <c r="H7" s="27"/>
      <c r="I7" s="27"/>
      <c r="J7" s="27"/>
      <c r="K7" s="27"/>
      <c r="L7" s="27"/>
      <c r="M7" s="27"/>
      <c r="N7" s="27"/>
    </row>
    <row r="8" spans="1:14" ht="18" customHeight="1" thickBot="1" x14ac:dyDescent="0.3">
      <c r="A8" s="41" t="s">
        <v>146</v>
      </c>
      <c r="B8" s="19" t="s">
        <v>89</v>
      </c>
      <c r="C8" s="19" t="s">
        <v>129</v>
      </c>
      <c r="D8" s="19" t="s">
        <v>130</v>
      </c>
      <c r="E8" s="19" t="s">
        <v>131</v>
      </c>
      <c r="F8" s="19" t="s">
        <v>132</v>
      </c>
      <c r="G8" s="19" t="s">
        <v>133</v>
      </c>
      <c r="H8" s="19" t="s">
        <v>134</v>
      </c>
      <c r="I8" s="19" t="s">
        <v>135</v>
      </c>
      <c r="J8" s="19" t="s">
        <v>136</v>
      </c>
      <c r="K8" s="19" t="s">
        <v>137</v>
      </c>
      <c r="L8" s="19" t="s">
        <v>138</v>
      </c>
      <c r="M8" s="19" t="s">
        <v>139</v>
      </c>
      <c r="N8" s="19" t="s">
        <v>140</v>
      </c>
    </row>
    <row r="9" spans="1:14" ht="15.75" customHeight="1" thickTop="1" x14ac:dyDescent="0.25">
      <c r="A9" s="127" t="s">
        <v>141</v>
      </c>
      <c r="B9" s="42">
        <v>1996</v>
      </c>
      <c r="C9" s="31">
        <v>36818</v>
      </c>
      <c r="D9" s="31">
        <v>37705</v>
      </c>
      <c r="E9" s="31">
        <v>34540</v>
      </c>
      <c r="F9" s="31">
        <v>35326</v>
      </c>
      <c r="G9" s="31">
        <v>43742</v>
      </c>
      <c r="H9" s="31">
        <v>46524</v>
      </c>
      <c r="I9" s="31">
        <v>47240</v>
      </c>
      <c r="J9" s="31">
        <v>46807</v>
      </c>
      <c r="K9" s="31">
        <v>41733</v>
      </c>
      <c r="L9" s="31">
        <v>34958</v>
      </c>
      <c r="M9" s="31">
        <v>34597</v>
      </c>
      <c r="N9" s="31">
        <v>39214</v>
      </c>
    </row>
    <row r="10" spans="1:14" x14ac:dyDescent="0.25">
      <c r="A10" s="113"/>
      <c r="B10" s="34">
        <v>1997</v>
      </c>
      <c r="C10" s="33">
        <v>41280</v>
      </c>
      <c r="D10" s="33">
        <v>33120</v>
      </c>
      <c r="E10" s="33">
        <v>31783</v>
      </c>
      <c r="F10" s="33">
        <v>34216</v>
      </c>
      <c r="G10" s="33">
        <v>40857</v>
      </c>
      <c r="H10" s="33">
        <v>45687</v>
      </c>
      <c r="I10" s="33">
        <v>49705</v>
      </c>
      <c r="J10" s="33">
        <v>50468</v>
      </c>
      <c r="K10" s="33">
        <v>49005</v>
      </c>
      <c r="L10" s="33">
        <v>43533</v>
      </c>
      <c r="M10" s="33">
        <v>33624</v>
      </c>
      <c r="N10" s="33">
        <v>36458</v>
      </c>
    </row>
    <row r="11" spans="1:14" x14ac:dyDescent="0.25">
      <c r="A11" s="113"/>
      <c r="B11" s="34">
        <v>1998</v>
      </c>
      <c r="C11" s="33">
        <v>35906</v>
      </c>
      <c r="D11" s="33">
        <v>33703</v>
      </c>
      <c r="E11" s="33">
        <v>36836</v>
      </c>
      <c r="F11" s="33">
        <v>35731</v>
      </c>
      <c r="G11" s="33">
        <v>48676</v>
      </c>
      <c r="H11" s="33">
        <v>52259</v>
      </c>
      <c r="I11" s="33">
        <v>53440</v>
      </c>
      <c r="J11" s="33">
        <v>54666</v>
      </c>
      <c r="K11" s="33">
        <v>51981</v>
      </c>
      <c r="L11" s="33">
        <v>46869</v>
      </c>
      <c r="M11" s="33">
        <v>32616</v>
      </c>
      <c r="N11" s="33">
        <v>40566</v>
      </c>
    </row>
    <row r="12" spans="1:14" x14ac:dyDescent="0.25">
      <c r="A12" s="113"/>
      <c r="B12" s="34">
        <v>1999</v>
      </c>
      <c r="C12" s="33">
        <v>39537</v>
      </c>
      <c r="D12" s="33">
        <v>34343</v>
      </c>
      <c r="E12" s="33">
        <v>33383</v>
      </c>
      <c r="F12" s="33">
        <v>41080</v>
      </c>
      <c r="G12" s="33">
        <v>43529</v>
      </c>
      <c r="H12" s="33">
        <v>49628</v>
      </c>
      <c r="I12" s="33">
        <v>52925</v>
      </c>
      <c r="J12" s="33">
        <v>55529</v>
      </c>
      <c r="K12" s="33">
        <v>50447</v>
      </c>
      <c r="L12" s="33">
        <v>43706</v>
      </c>
      <c r="M12" s="33">
        <v>33615</v>
      </c>
      <c r="N12" s="33">
        <v>36685</v>
      </c>
    </row>
    <row r="13" spans="1:14" x14ac:dyDescent="0.25">
      <c r="A13" s="113"/>
      <c r="B13" s="34">
        <v>2000</v>
      </c>
      <c r="C13" s="33">
        <v>39075</v>
      </c>
      <c r="D13" s="33">
        <v>34779</v>
      </c>
      <c r="E13" s="33">
        <v>38040</v>
      </c>
      <c r="F13" s="33">
        <v>40399</v>
      </c>
      <c r="G13" s="33">
        <v>50347</v>
      </c>
      <c r="H13" s="33">
        <v>49577</v>
      </c>
      <c r="I13" s="33">
        <v>55767</v>
      </c>
      <c r="J13" s="33">
        <v>57606</v>
      </c>
      <c r="K13" s="33">
        <v>57099</v>
      </c>
      <c r="L13" s="33">
        <v>47781</v>
      </c>
      <c r="M13" s="33">
        <v>35563</v>
      </c>
      <c r="N13" s="33">
        <v>44641</v>
      </c>
    </row>
    <row r="14" spans="1:14" x14ac:dyDescent="0.25">
      <c r="A14" s="113"/>
      <c r="B14" s="34">
        <v>2001</v>
      </c>
      <c r="C14" s="33">
        <v>42995</v>
      </c>
      <c r="D14" s="33">
        <v>35091</v>
      </c>
      <c r="E14" s="33">
        <v>34090</v>
      </c>
      <c r="F14" s="33">
        <v>37017</v>
      </c>
      <c r="G14" s="33">
        <v>44606</v>
      </c>
      <c r="H14" s="33">
        <v>50918</v>
      </c>
      <c r="I14" s="33">
        <v>54846</v>
      </c>
      <c r="J14" s="33">
        <v>55201</v>
      </c>
      <c r="K14" s="33">
        <v>50073</v>
      </c>
      <c r="L14" s="33">
        <v>40796</v>
      </c>
      <c r="M14" s="33">
        <v>41608</v>
      </c>
      <c r="N14" s="33">
        <v>36557</v>
      </c>
    </row>
    <row r="15" spans="1:14" x14ac:dyDescent="0.25">
      <c r="A15" s="113"/>
      <c r="B15" s="34">
        <v>2002</v>
      </c>
      <c r="C15" s="33">
        <v>43901</v>
      </c>
      <c r="D15" s="33">
        <v>43837</v>
      </c>
      <c r="E15" s="33">
        <v>43964</v>
      </c>
      <c r="F15" s="33">
        <v>49064</v>
      </c>
      <c r="G15" s="33">
        <v>49018</v>
      </c>
      <c r="H15" s="33">
        <v>51882</v>
      </c>
      <c r="I15" s="33">
        <v>54891</v>
      </c>
      <c r="J15" s="33">
        <v>56248</v>
      </c>
      <c r="K15" s="33">
        <v>51556</v>
      </c>
      <c r="L15" s="33">
        <v>49105</v>
      </c>
      <c r="M15" s="33">
        <v>35901</v>
      </c>
      <c r="N15" s="33">
        <v>40650</v>
      </c>
    </row>
    <row r="16" spans="1:14" x14ac:dyDescent="0.25">
      <c r="A16" s="113"/>
      <c r="B16" s="34">
        <v>2003</v>
      </c>
      <c r="C16" s="33">
        <v>45433</v>
      </c>
      <c r="D16" s="33">
        <v>43498</v>
      </c>
      <c r="E16" s="33">
        <v>37554</v>
      </c>
      <c r="F16" s="33">
        <v>40579</v>
      </c>
      <c r="G16" s="33">
        <v>52909</v>
      </c>
      <c r="H16" s="33">
        <v>53637</v>
      </c>
      <c r="I16" s="33">
        <v>56251</v>
      </c>
      <c r="J16" s="33">
        <v>59996</v>
      </c>
      <c r="K16" s="33">
        <v>49502</v>
      </c>
      <c r="L16" s="33">
        <v>42651</v>
      </c>
      <c r="M16" s="33">
        <v>38608</v>
      </c>
      <c r="N16" s="33">
        <v>40782</v>
      </c>
    </row>
    <row r="17" spans="1:14" x14ac:dyDescent="0.25">
      <c r="A17" s="113"/>
      <c r="B17" s="34">
        <v>2004</v>
      </c>
      <c r="C17" s="33">
        <v>42698</v>
      </c>
      <c r="D17" s="33">
        <v>42301</v>
      </c>
      <c r="E17" s="33">
        <v>34321</v>
      </c>
      <c r="F17" s="33">
        <v>39131</v>
      </c>
      <c r="G17" s="33">
        <v>48702</v>
      </c>
      <c r="H17" s="33">
        <v>54061</v>
      </c>
      <c r="I17" s="33">
        <v>56489</v>
      </c>
      <c r="J17" s="33">
        <v>58531</v>
      </c>
      <c r="K17" s="33">
        <v>55179</v>
      </c>
      <c r="L17" s="33">
        <v>47714</v>
      </c>
      <c r="M17" s="33">
        <v>37599</v>
      </c>
      <c r="N17" s="33">
        <v>44010</v>
      </c>
    </row>
    <row r="18" spans="1:14" x14ac:dyDescent="0.25">
      <c r="A18" s="113"/>
      <c r="B18" s="34">
        <v>2005</v>
      </c>
      <c r="C18" s="33">
        <v>40966</v>
      </c>
      <c r="D18" s="33">
        <v>41095</v>
      </c>
      <c r="E18" s="33">
        <v>36115</v>
      </c>
      <c r="F18" s="33">
        <v>41219</v>
      </c>
      <c r="G18" s="33">
        <v>51947</v>
      </c>
      <c r="H18" s="33">
        <v>58140</v>
      </c>
      <c r="I18" s="33">
        <v>57319</v>
      </c>
      <c r="J18" s="33">
        <v>60210</v>
      </c>
      <c r="K18" s="33">
        <v>59524</v>
      </c>
      <c r="L18" s="33">
        <v>52107</v>
      </c>
      <c r="M18" s="33">
        <v>42470</v>
      </c>
      <c r="N18" s="33">
        <v>47948</v>
      </c>
    </row>
    <row r="19" spans="1:14" x14ac:dyDescent="0.25">
      <c r="A19" s="113"/>
      <c r="B19" s="34">
        <v>2006</v>
      </c>
      <c r="C19" s="33">
        <v>38604</v>
      </c>
      <c r="D19" s="33">
        <v>43210</v>
      </c>
      <c r="E19" s="33">
        <v>38257</v>
      </c>
      <c r="F19" s="33">
        <v>51800</v>
      </c>
      <c r="G19" s="33">
        <v>54175</v>
      </c>
      <c r="H19" s="33">
        <v>57887</v>
      </c>
      <c r="I19" s="33">
        <v>61660</v>
      </c>
      <c r="J19" s="33">
        <v>62339</v>
      </c>
      <c r="K19" s="33">
        <v>56603</v>
      </c>
      <c r="L19" s="33">
        <v>50890</v>
      </c>
      <c r="M19" s="33">
        <v>45143</v>
      </c>
      <c r="N19" s="33">
        <v>46896</v>
      </c>
    </row>
    <row r="20" spans="1:14" x14ac:dyDescent="0.25">
      <c r="A20" s="113"/>
      <c r="B20" s="34">
        <v>2007</v>
      </c>
      <c r="C20" s="33">
        <v>50404</v>
      </c>
      <c r="D20" s="33">
        <v>50408</v>
      </c>
      <c r="E20" s="33">
        <v>38827</v>
      </c>
      <c r="F20" s="33">
        <v>41710</v>
      </c>
      <c r="G20" s="33">
        <v>49222</v>
      </c>
      <c r="H20" s="33">
        <v>56427</v>
      </c>
      <c r="I20" s="33">
        <v>56754</v>
      </c>
      <c r="J20" s="33">
        <v>62188</v>
      </c>
      <c r="K20" s="33">
        <v>55091</v>
      </c>
      <c r="L20" s="33">
        <v>54102</v>
      </c>
      <c r="M20" s="33">
        <v>39993</v>
      </c>
      <c r="N20" s="33">
        <v>44443</v>
      </c>
    </row>
    <row r="21" spans="1:14" x14ac:dyDescent="0.25">
      <c r="A21" s="113"/>
      <c r="B21" s="34">
        <v>2008</v>
      </c>
      <c r="C21" s="33">
        <v>46099</v>
      </c>
      <c r="D21" s="33">
        <v>45321.167699999998</v>
      </c>
      <c r="E21" s="33">
        <v>42412.086199999998</v>
      </c>
      <c r="F21" s="33">
        <v>45872.209199999998</v>
      </c>
      <c r="G21" s="33">
        <v>56343.900099999999</v>
      </c>
      <c r="H21" s="33">
        <v>59642.121400000004</v>
      </c>
      <c r="I21" s="33">
        <v>61119.606599999999</v>
      </c>
      <c r="J21" s="33">
        <v>62174.376600000003</v>
      </c>
      <c r="K21" s="33">
        <v>56342.6037</v>
      </c>
      <c r="L21" s="33">
        <v>46574.727200000001</v>
      </c>
      <c r="M21" s="33">
        <v>38746.451099999998</v>
      </c>
      <c r="N21" s="33">
        <v>47805.654799999997</v>
      </c>
    </row>
    <row r="22" spans="1:14" x14ac:dyDescent="0.25">
      <c r="A22" s="113"/>
      <c r="B22" s="34">
        <v>2009</v>
      </c>
      <c r="C22" s="33">
        <v>46165.7808</v>
      </c>
      <c r="D22" s="33">
        <v>42228</v>
      </c>
      <c r="E22" s="33">
        <v>40289.238400000067</v>
      </c>
      <c r="F22" s="33">
        <v>43488</v>
      </c>
      <c r="G22" s="33">
        <v>51321</v>
      </c>
      <c r="H22" s="33">
        <v>62392.68160000004</v>
      </c>
      <c r="I22" s="33">
        <v>63517.940800000077</v>
      </c>
      <c r="J22" s="33">
        <v>62240.50840000005</v>
      </c>
      <c r="K22" s="33">
        <v>55382.693200000038</v>
      </c>
      <c r="L22" s="33">
        <v>49089.511200000052</v>
      </c>
      <c r="M22" s="33">
        <v>37039.617375999987</v>
      </c>
      <c r="N22" s="33">
        <v>46911.623420000004</v>
      </c>
    </row>
    <row r="23" spans="1:14" x14ac:dyDescent="0.25">
      <c r="A23" s="113"/>
      <c r="B23" s="34">
        <v>2010</v>
      </c>
      <c r="C23" s="33">
        <v>55877.834156999983</v>
      </c>
      <c r="D23" s="33">
        <v>47194.794693000003</v>
      </c>
      <c r="E23" s="33">
        <v>41440.087765999997</v>
      </c>
      <c r="F23" s="33">
        <v>40169.102513000013</v>
      </c>
      <c r="G23" s="33">
        <v>54725.497190000053</v>
      </c>
      <c r="H23" s="33">
        <v>60789.143083999967</v>
      </c>
      <c r="I23" s="33">
        <v>60674.172725999997</v>
      </c>
      <c r="J23" s="33">
        <v>65776.326355000056</v>
      </c>
      <c r="K23" s="33">
        <v>58200.74135799997</v>
      </c>
      <c r="L23" s="33">
        <v>45456.392179999973</v>
      </c>
      <c r="M23" s="33">
        <v>40220</v>
      </c>
      <c r="N23" s="33">
        <v>44715.734390000012</v>
      </c>
    </row>
    <row r="24" spans="1:14" x14ac:dyDescent="0.25">
      <c r="A24" s="113"/>
      <c r="B24" s="34">
        <v>2011</v>
      </c>
      <c r="C24" s="33">
        <v>49829</v>
      </c>
      <c r="D24" s="33">
        <v>47953</v>
      </c>
      <c r="E24" s="33">
        <v>44057</v>
      </c>
      <c r="F24" s="33">
        <v>47797</v>
      </c>
      <c r="G24" s="33">
        <v>57620</v>
      </c>
      <c r="H24" s="33">
        <v>60057</v>
      </c>
      <c r="I24" s="33">
        <v>63376</v>
      </c>
      <c r="J24" s="33">
        <v>63770</v>
      </c>
      <c r="K24" s="33">
        <v>58520</v>
      </c>
      <c r="L24" s="33">
        <v>52458</v>
      </c>
      <c r="M24" s="33">
        <v>43440</v>
      </c>
      <c r="N24" s="33">
        <v>51642</v>
      </c>
    </row>
    <row r="25" spans="1:14" x14ac:dyDescent="0.25">
      <c r="A25" s="113"/>
      <c r="B25" s="34">
        <v>2012</v>
      </c>
      <c r="C25" s="33">
        <v>46908.490532999989</v>
      </c>
      <c r="D25" s="33">
        <v>42090.046893999992</v>
      </c>
      <c r="E25" s="33">
        <v>42611.046161999999</v>
      </c>
      <c r="F25" s="33">
        <v>48774.035648999998</v>
      </c>
      <c r="G25" s="33">
        <v>58947.019365000029</v>
      </c>
      <c r="H25" s="33">
        <v>66548</v>
      </c>
      <c r="I25" s="33">
        <v>65807.691267000017</v>
      </c>
      <c r="J25" s="33">
        <v>66509</v>
      </c>
      <c r="K25" s="33">
        <v>64862.207351999998</v>
      </c>
      <c r="L25" s="33">
        <v>48274.272141000009</v>
      </c>
      <c r="M25" s="33">
        <v>41625.6633</v>
      </c>
      <c r="N25" s="33">
        <v>45544.785925999997</v>
      </c>
    </row>
    <row r="26" spans="1:14" x14ac:dyDescent="0.25">
      <c r="A26" s="113"/>
      <c r="B26" s="34">
        <v>2013</v>
      </c>
      <c r="C26" s="33">
        <v>50664.805109000008</v>
      </c>
      <c r="D26" s="33">
        <v>40406.996386999992</v>
      </c>
      <c r="E26" s="33">
        <v>41709.798607999983</v>
      </c>
      <c r="F26" s="33">
        <v>45601.933548999987</v>
      </c>
      <c r="G26" s="33">
        <v>56209.22045800004</v>
      </c>
      <c r="H26" s="33">
        <v>64418.294455000017</v>
      </c>
      <c r="I26" s="33">
        <v>64814</v>
      </c>
      <c r="J26" s="33">
        <v>67244.529370000004</v>
      </c>
      <c r="K26" s="33">
        <v>63387.851338999993</v>
      </c>
      <c r="L26" s="33">
        <v>54709.534770999999</v>
      </c>
      <c r="M26" s="33">
        <v>46954.200232000017</v>
      </c>
      <c r="N26" s="33">
        <v>53642.439892999988</v>
      </c>
    </row>
    <row r="27" spans="1:14" x14ac:dyDescent="0.25">
      <c r="A27" s="113"/>
      <c r="B27" s="34">
        <v>2014</v>
      </c>
      <c r="C27" s="36">
        <v>57256.307307999981</v>
      </c>
      <c r="D27" s="36">
        <v>57010.710048999987</v>
      </c>
      <c r="E27" s="36">
        <v>54587.409669000008</v>
      </c>
      <c r="F27" s="36">
        <v>48400.126049000013</v>
      </c>
      <c r="G27" s="36">
        <v>52615.35265700001</v>
      </c>
      <c r="H27" s="36">
        <v>59785.772796000012</v>
      </c>
      <c r="I27" s="36">
        <v>63531.986717999993</v>
      </c>
      <c r="J27" s="36">
        <v>66453.638709999999</v>
      </c>
      <c r="K27" s="36">
        <v>64439.557671999988</v>
      </c>
      <c r="L27" s="36">
        <v>58419.194104999988</v>
      </c>
      <c r="M27" s="36">
        <v>50807.340727000003</v>
      </c>
      <c r="N27" s="36">
        <v>48361.714998000003</v>
      </c>
    </row>
    <row r="28" spans="1:14" x14ac:dyDescent="0.25">
      <c r="A28" s="113"/>
      <c r="B28" s="34">
        <v>2015</v>
      </c>
      <c r="C28" s="39">
        <v>56831.780261</v>
      </c>
      <c r="D28" s="39">
        <v>54539.425095000013</v>
      </c>
      <c r="E28" s="39">
        <v>53179.528378000003</v>
      </c>
      <c r="F28" s="39">
        <v>45227.421106999987</v>
      </c>
      <c r="G28" s="39">
        <v>53389.396537000022</v>
      </c>
      <c r="H28" s="39">
        <v>61732.271859</v>
      </c>
      <c r="I28" s="39">
        <v>67650.277022999973</v>
      </c>
      <c r="J28" s="39">
        <v>69877.046692000004</v>
      </c>
      <c r="K28" s="39">
        <v>64458.196335999979</v>
      </c>
      <c r="L28" s="39">
        <v>59186.565458000012</v>
      </c>
      <c r="M28" s="39">
        <v>44945.143429000011</v>
      </c>
      <c r="N28" s="39">
        <v>44934.24882299998</v>
      </c>
    </row>
    <row r="29" spans="1:14" x14ac:dyDescent="0.25">
      <c r="A29" s="113"/>
      <c r="B29" s="34">
        <v>2016</v>
      </c>
      <c r="C29" s="38">
        <v>49262.557867000003</v>
      </c>
      <c r="D29" s="38">
        <v>47416.492255999998</v>
      </c>
      <c r="E29" s="38">
        <v>43347.187289000009</v>
      </c>
      <c r="F29" s="38">
        <v>50932.083372000001</v>
      </c>
      <c r="G29" s="38">
        <v>57223.827259000012</v>
      </c>
      <c r="H29" s="38">
        <v>64896.260115999983</v>
      </c>
      <c r="I29" s="38">
        <v>67468.931834999996</v>
      </c>
      <c r="J29" s="38">
        <v>71110.103906000004</v>
      </c>
      <c r="K29" s="38">
        <v>66948.566200000016</v>
      </c>
      <c r="L29" s="38">
        <v>59864.267969000022</v>
      </c>
      <c r="M29" s="38">
        <v>50012.351101000007</v>
      </c>
      <c r="N29" s="38">
        <v>57932.432542000002</v>
      </c>
    </row>
    <row r="30" spans="1:14" x14ac:dyDescent="0.25">
      <c r="A30" s="32" t="s">
        <v>142</v>
      </c>
      <c r="B30" s="34" t="s">
        <v>143</v>
      </c>
      <c r="C30" s="38">
        <v>54417.088657</v>
      </c>
      <c r="D30" s="38">
        <v>52494.976718285718</v>
      </c>
      <c r="E30" s="38">
        <v>46877.755507071437</v>
      </c>
      <c r="F30" s="38">
        <v>51622.356243571427</v>
      </c>
      <c r="G30" s="38">
        <v>58907.858442857148</v>
      </c>
      <c r="H30" s="38">
        <v>66915.331950000007</v>
      </c>
      <c r="I30" s="38">
        <v>68657.299547142859</v>
      </c>
      <c r="J30" s="38">
        <v>72933.55037796931</v>
      </c>
      <c r="K30" s="38">
        <v>64448.590611428583</v>
      </c>
      <c r="L30" s="38">
        <v>56096.828650285708</v>
      </c>
      <c r="M30" s="38">
        <v>45791.00676650001</v>
      </c>
      <c r="N30" s="38">
        <v>52669.430516428569</v>
      </c>
    </row>
    <row r="31" spans="1:14" x14ac:dyDescent="0.25">
      <c r="B31" s="34" t="s">
        <v>144</v>
      </c>
      <c r="C31" s="39">
        <v>55003.088372785707</v>
      </c>
      <c r="D31" s="39">
        <v>53084.389741214283</v>
      </c>
      <c r="E31" s="39">
        <v>47485.514778142853</v>
      </c>
      <c r="F31" s="39">
        <v>52357.575244285712</v>
      </c>
      <c r="G31" s="39">
        <v>59695.21480428573</v>
      </c>
      <c r="H31" s="39">
        <v>67905.306435714272</v>
      </c>
      <c r="I31" s="39">
        <v>69666.623246428571</v>
      </c>
      <c r="J31" s="39">
        <v>74149.387284127297</v>
      </c>
      <c r="K31" s="39">
        <v>65482.962698571428</v>
      </c>
      <c r="L31" s="39">
        <v>57090.494463071431</v>
      </c>
      <c r="M31" s="39">
        <v>46784.411259357148</v>
      </c>
      <c r="N31" s="39">
        <v>53494.895692857142</v>
      </c>
    </row>
  </sheetData>
  <mergeCells count="1">
    <mergeCell ref="A9:A29"/>
  </mergeCells>
  <pageMargins left="0.5" right="0.5" top="0.75" bottom="0.75" header="0.3" footer="0.3"/>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35"/>
  <sheetViews>
    <sheetView showGridLines="0" workbookViewId="0"/>
  </sheetViews>
  <sheetFormatPr defaultColWidth="8.140625" defaultRowHeight="15" x14ac:dyDescent="0.25"/>
  <sheetData>
    <row r="1" spans="1:14" x14ac:dyDescent="0.25">
      <c r="A1" s="25" t="s">
        <v>123</v>
      </c>
      <c r="B1" s="26"/>
      <c r="C1" s="26"/>
      <c r="D1" s="27"/>
      <c r="E1" s="27"/>
      <c r="F1" s="27"/>
      <c r="G1" s="27"/>
      <c r="H1" s="27"/>
      <c r="I1" s="27"/>
      <c r="J1" s="27"/>
      <c r="K1" s="27"/>
      <c r="L1" s="27"/>
      <c r="M1" s="27"/>
      <c r="N1" s="27"/>
    </row>
    <row r="2" spans="1:14" x14ac:dyDescent="0.25">
      <c r="A2" s="25" t="s">
        <v>124</v>
      </c>
      <c r="B2" s="26"/>
      <c r="C2" s="26"/>
      <c r="D2" s="27"/>
      <c r="E2" s="27"/>
      <c r="F2" s="27"/>
      <c r="G2" s="27"/>
      <c r="H2" s="27"/>
      <c r="I2" s="27"/>
      <c r="J2" s="27"/>
      <c r="K2" s="27"/>
      <c r="L2" s="27"/>
      <c r="M2" s="27"/>
      <c r="N2" s="27"/>
    </row>
    <row r="3" spans="1:14" x14ac:dyDescent="0.25">
      <c r="A3" s="25"/>
      <c r="B3" s="26"/>
      <c r="C3" s="26"/>
      <c r="D3" s="27"/>
      <c r="E3" s="27"/>
      <c r="F3" s="27"/>
      <c r="G3" s="27"/>
      <c r="H3" s="27"/>
      <c r="I3" s="27"/>
      <c r="J3" s="27"/>
      <c r="K3" s="27"/>
      <c r="L3" s="27"/>
      <c r="M3" s="27"/>
      <c r="N3" s="27"/>
    </row>
    <row r="4" spans="1:14" ht="15.75" customHeight="1" x14ac:dyDescent="0.25">
      <c r="A4" s="28" t="s">
        <v>147</v>
      </c>
      <c r="B4" s="27"/>
      <c r="C4" s="27"/>
      <c r="D4" s="29"/>
      <c r="E4" s="27"/>
      <c r="F4" s="27"/>
      <c r="G4" s="27"/>
      <c r="H4" s="27"/>
      <c r="I4" s="27"/>
      <c r="J4" s="27"/>
      <c r="K4" s="27"/>
      <c r="L4" s="27"/>
      <c r="M4" s="27"/>
      <c r="N4" s="27"/>
    </row>
    <row r="5" spans="1:14" ht="15.75" customHeight="1" x14ac:dyDescent="0.25">
      <c r="A5" s="28" t="s">
        <v>126</v>
      </c>
      <c r="B5" s="27"/>
      <c r="C5" s="27"/>
      <c r="D5" s="29"/>
      <c r="E5" s="27"/>
      <c r="F5" s="27"/>
      <c r="G5" s="27"/>
      <c r="H5" s="27"/>
      <c r="I5" s="27"/>
      <c r="J5" s="27"/>
      <c r="K5" s="27"/>
      <c r="L5" s="27"/>
      <c r="M5" s="27"/>
      <c r="N5" s="27"/>
    </row>
    <row r="6" spans="1:14" x14ac:dyDescent="0.25">
      <c r="A6" s="15" t="s">
        <v>127</v>
      </c>
      <c r="B6" s="27"/>
      <c r="C6" s="27"/>
      <c r="D6" s="27"/>
      <c r="E6" s="27"/>
      <c r="F6" s="27"/>
      <c r="G6" s="27"/>
      <c r="H6" s="27"/>
      <c r="I6" s="27"/>
      <c r="J6" s="27"/>
      <c r="K6" s="27"/>
      <c r="L6" s="27"/>
      <c r="M6" s="27"/>
      <c r="N6" s="27"/>
    </row>
    <row r="7" spans="1:14" x14ac:dyDescent="0.25">
      <c r="A7" s="40"/>
      <c r="B7" s="27"/>
      <c r="C7" s="27"/>
      <c r="D7" s="27"/>
      <c r="E7" s="27"/>
      <c r="F7" s="27"/>
      <c r="G7" s="27"/>
      <c r="H7" s="27"/>
      <c r="I7" s="27"/>
      <c r="J7" s="27"/>
      <c r="K7" s="27"/>
      <c r="L7" s="27"/>
      <c r="M7" s="27"/>
      <c r="N7" s="27"/>
    </row>
    <row r="8" spans="1:14" ht="24" customHeight="1" thickBot="1" x14ac:dyDescent="0.3">
      <c r="A8" s="41" t="s">
        <v>148</v>
      </c>
      <c r="B8" s="19" t="s">
        <v>89</v>
      </c>
      <c r="C8" s="19" t="s">
        <v>129</v>
      </c>
      <c r="D8" s="19" t="s">
        <v>130</v>
      </c>
      <c r="E8" s="19" t="s">
        <v>131</v>
      </c>
      <c r="F8" s="19" t="s">
        <v>132</v>
      </c>
      <c r="G8" s="19" t="s">
        <v>133</v>
      </c>
      <c r="H8" s="19" t="s">
        <v>134</v>
      </c>
      <c r="I8" s="19" t="s">
        <v>135</v>
      </c>
      <c r="J8" s="19" t="s">
        <v>136</v>
      </c>
      <c r="K8" s="19" t="s">
        <v>137</v>
      </c>
      <c r="L8" s="19" t="s">
        <v>138</v>
      </c>
      <c r="M8" s="19" t="s">
        <v>139</v>
      </c>
      <c r="N8" s="19" t="s">
        <v>140</v>
      </c>
    </row>
    <row r="9" spans="1:14" ht="15.75" customHeight="1" thickTop="1" x14ac:dyDescent="0.25">
      <c r="A9" s="127" t="s">
        <v>141</v>
      </c>
      <c r="B9" s="42">
        <v>1996</v>
      </c>
      <c r="C9" s="31" t="s">
        <v>149</v>
      </c>
      <c r="D9" s="31" t="s">
        <v>149</v>
      </c>
      <c r="E9" s="31" t="s">
        <v>149</v>
      </c>
      <c r="F9" s="31" t="s">
        <v>149</v>
      </c>
      <c r="G9" s="31" t="s">
        <v>149</v>
      </c>
      <c r="H9" s="31" t="s">
        <v>149</v>
      </c>
      <c r="I9" s="31" t="s">
        <v>149</v>
      </c>
      <c r="J9" s="31" t="s">
        <v>149</v>
      </c>
      <c r="K9" s="31" t="s">
        <v>149</v>
      </c>
      <c r="L9" s="31" t="s">
        <v>149</v>
      </c>
      <c r="M9" s="31" t="s">
        <v>149</v>
      </c>
      <c r="N9" s="31" t="s">
        <v>149</v>
      </c>
    </row>
    <row r="10" spans="1:14" x14ac:dyDescent="0.25">
      <c r="A10" s="113"/>
      <c r="B10" s="34">
        <v>1997</v>
      </c>
      <c r="C10" s="33" t="s">
        <v>149</v>
      </c>
      <c r="D10" s="33" t="s">
        <v>149</v>
      </c>
      <c r="E10" s="33" t="s">
        <v>149</v>
      </c>
      <c r="F10" s="33" t="s">
        <v>149</v>
      </c>
      <c r="G10" s="33" t="s">
        <v>149</v>
      </c>
      <c r="H10" s="33" t="s">
        <v>149</v>
      </c>
      <c r="I10" s="33" t="s">
        <v>149</v>
      </c>
      <c r="J10" s="33" t="s">
        <v>149</v>
      </c>
      <c r="K10" s="33" t="s">
        <v>149</v>
      </c>
      <c r="L10" s="33" t="s">
        <v>149</v>
      </c>
      <c r="M10" s="33" t="s">
        <v>149</v>
      </c>
      <c r="N10" s="33" t="s">
        <v>149</v>
      </c>
    </row>
    <row r="11" spans="1:14" x14ac:dyDescent="0.25">
      <c r="A11" s="113"/>
      <c r="B11" s="34">
        <v>1998</v>
      </c>
      <c r="C11" s="33" t="s">
        <v>149</v>
      </c>
      <c r="D11" s="33" t="s">
        <v>149</v>
      </c>
      <c r="E11" s="33" t="s">
        <v>149</v>
      </c>
      <c r="F11" s="33" t="s">
        <v>149</v>
      </c>
      <c r="G11" s="33" t="s">
        <v>149</v>
      </c>
      <c r="H11" s="33" t="s">
        <v>149</v>
      </c>
      <c r="I11" s="33" t="s">
        <v>149</v>
      </c>
      <c r="J11" s="33" t="s">
        <v>149</v>
      </c>
      <c r="K11" s="33" t="s">
        <v>149</v>
      </c>
      <c r="L11" s="33" t="s">
        <v>149</v>
      </c>
      <c r="M11" s="33" t="s">
        <v>149</v>
      </c>
      <c r="N11" s="33" t="s">
        <v>149</v>
      </c>
    </row>
    <row r="12" spans="1:14" x14ac:dyDescent="0.25">
      <c r="A12" s="113"/>
      <c r="B12" s="34">
        <v>1999</v>
      </c>
      <c r="C12" s="33" t="s">
        <v>149</v>
      </c>
      <c r="D12" s="33" t="s">
        <v>149</v>
      </c>
      <c r="E12" s="33" t="s">
        <v>149</v>
      </c>
      <c r="F12" s="33" t="s">
        <v>149</v>
      </c>
      <c r="G12" s="33" t="s">
        <v>149</v>
      </c>
      <c r="H12" s="33" t="s">
        <v>149</v>
      </c>
      <c r="I12" s="33" t="s">
        <v>149</v>
      </c>
      <c r="J12" s="33" t="s">
        <v>149</v>
      </c>
      <c r="K12" s="33" t="s">
        <v>149</v>
      </c>
      <c r="L12" s="33" t="s">
        <v>149</v>
      </c>
      <c r="M12" s="33" t="s">
        <v>149</v>
      </c>
      <c r="N12" s="33" t="s">
        <v>149</v>
      </c>
    </row>
    <row r="13" spans="1:14" x14ac:dyDescent="0.25">
      <c r="A13" s="113"/>
      <c r="B13" s="34">
        <v>2000</v>
      </c>
      <c r="C13" s="33" t="s">
        <v>149</v>
      </c>
      <c r="D13" s="33" t="s">
        <v>149</v>
      </c>
      <c r="E13" s="33" t="s">
        <v>149</v>
      </c>
      <c r="F13" s="33" t="s">
        <v>149</v>
      </c>
      <c r="G13" s="33" t="s">
        <v>149</v>
      </c>
      <c r="H13" s="33" t="s">
        <v>149</v>
      </c>
      <c r="I13" s="33" t="s">
        <v>149</v>
      </c>
      <c r="J13" s="33" t="s">
        <v>149</v>
      </c>
      <c r="K13" s="33" t="s">
        <v>149</v>
      </c>
      <c r="L13" s="33" t="s">
        <v>149</v>
      </c>
      <c r="M13" s="33" t="s">
        <v>149</v>
      </c>
      <c r="N13" s="33" t="s">
        <v>149</v>
      </c>
    </row>
    <row r="14" spans="1:14" x14ac:dyDescent="0.25">
      <c r="A14" s="113"/>
      <c r="B14" s="34">
        <v>2001</v>
      </c>
      <c r="C14" s="33" t="s">
        <v>149</v>
      </c>
      <c r="D14" s="33" t="s">
        <v>149</v>
      </c>
      <c r="E14" s="33" t="s">
        <v>149</v>
      </c>
      <c r="F14" s="33" t="s">
        <v>149</v>
      </c>
      <c r="G14" s="33" t="s">
        <v>149</v>
      </c>
      <c r="H14" s="33" t="s">
        <v>149</v>
      </c>
      <c r="I14" s="33" t="s">
        <v>149</v>
      </c>
      <c r="J14" s="33" t="s">
        <v>149</v>
      </c>
      <c r="K14" s="33" t="s">
        <v>149</v>
      </c>
      <c r="L14" s="33" t="s">
        <v>149</v>
      </c>
      <c r="M14" s="33" t="s">
        <v>149</v>
      </c>
      <c r="N14" s="33" t="s">
        <v>149</v>
      </c>
    </row>
    <row r="15" spans="1:14" x14ac:dyDescent="0.25">
      <c r="A15" s="113"/>
      <c r="B15" s="34">
        <v>2002</v>
      </c>
      <c r="C15" s="33" t="s">
        <v>149</v>
      </c>
      <c r="D15" s="33" t="s">
        <v>149</v>
      </c>
      <c r="E15" s="33" t="s">
        <v>149</v>
      </c>
      <c r="F15" s="33" t="s">
        <v>149</v>
      </c>
      <c r="G15" s="33" t="s">
        <v>149</v>
      </c>
      <c r="H15" s="33" t="s">
        <v>149</v>
      </c>
      <c r="I15" s="33" t="s">
        <v>149</v>
      </c>
      <c r="J15" s="33" t="s">
        <v>149</v>
      </c>
      <c r="K15" s="33" t="s">
        <v>149</v>
      </c>
      <c r="L15" s="33" t="s">
        <v>149</v>
      </c>
      <c r="M15" s="33" t="s">
        <v>149</v>
      </c>
      <c r="N15" s="33" t="s">
        <v>149</v>
      </c>
    </row>
    <row r="16" spans="1:14" x14ac:dyDescent="0.25">
      <c r="A16" s="113"/>
      <c r="B16" s="34">
        <v>2003</v>
      </c>
      <c r="C16" s="33" t="s">
        <v>149</v>
      </c>
      <c r="D16" s="33" t="s">
        <v>149</v>
      </c>
      <c r="E16" s="33" t="s">
        <v>149</v>
      </c>
      <c r="F16" s="33" t="s">
        <v>149</v>
      </c>
      <c r="G16" s="33" t="s">
        <v>149</v>
      </c>
      <c r="H16" s="33" t="s">
        <v>149</v>
      </c>
      <c r="I16" s="33" t="s">
        <v>149</v>
      </c>
      <c r="J16" s="33" t="s">
        <v>149</v>
      </c>
      <c r="K16" s="33" t="s">
        <v>149</v>
      </c>
      <c r="L16" s="33" t="s">
        <v>149</v>
      </c>
      <c r="M16" s="33" t="s">
        <v>149</v>
      </c>
      <c r="N16" s="33" t="s">
        <v>149</v>
      </c>
    </row>
    <row r="17" spans="1:14" x14ac:dyDescent="0.25">
      <c r="A17" s="113"/>
      <c r="B17" s="34">
        <v>2004</v>
      </c>
      <c r="C17" s="33" t="s">
        <v>149</v>
      </c>
      <c r="D17" s="33" t="s">
        <v>149</v>
      </c>
      <c r="E17" s="33" t="s">
        <v>149</v>
      </c>
      <c r="F17" s="33" t="s">
        <v>149</v>
      </c>
      <c r="G17" s="33" t="s">
        <v>149</v>
      </c>
      <c r="H17" s="33" t="s">
        <v>149</v>
      </c>
      <c r="I17" s="33" t="s">
        <v>149</v>
      </c>
      <c r="J17" s="33" t="s">
        <v>149</v>
      </c>
      <c r="K17" s="33" t="s">
        <v>149</v>
      </c>
      <c r="L17" s="33" t="s">
        <v>149</v>
      </c>
      <c r="M17" s="33" t="s">
        <v>149</v>
      </c>
      <c r="N17" s="33" t="s">
        <v>149</v>
      </c>
    </row>
    <row r="18" spans="1:14" x14ac:dyDescent="0.25">
      <c r="A18" s="113"/>
      <c r="B18" s="34">
        <v>2005</v>
      </c>
      <c r="C18" s="33" t="s">
        <v>149</v>
      </c>
      <c r="D18" s="33" t="s">
        <v>149</v>
      </c>
      <c r="E18" s="33" t="s">
        <v>149</v>
      </c>
      <c r="F18" s="33" t="s">
        <v>149</v>
      </c>
      <c r="G18" s="33" t="s">
        <v>149</v>
      </c>
      <c r="H18" s="33" t="s">
        <v>149</v>
      </c>
      <c r="I18" s="33" t="s">
        <v>149</v>
      </c>
      <c r="J18" s="33" t="s">
        <v>149</v>
      </c>
      <c r="K18" s="33" t="s">
        <v>149</v>
      </c>
      <c r="L18" s="33" t="s">
        <v>149</v>
      </c>
      <c r="M18" s="33" t="s">
        <v>149</v>
      </c>
      <c r="N18" s="33" t="s">
        <v>149</v>
      </c>
    </row>
    <row r="19" spans="1:14" x14ac:dyDescent="0.25">
      <c r="A19" s="113"/>
      <c r="B19" s="34">
        <v>2006</v>
      </c>
      <c r="C19" s="33" t="s">
        <v>149</v>
      </c>
      <c r="D19" s="33" t="s">
        <v>149</v>
      </c>
      <c r="E19" s="33" t="s">
        <v>149</v>
      </c>
      <c r="F19" s="33" t="s">
        <v>149</v>
      </c>
      <c r="G19" s="33" t="s">
        <v>149</v>
      </c>
      <c r="H19" s="33" t="s">
        <v>149</v>
      </c>
      <c r="I19" s="33" t="s">
        <v>149</v>
      </c>
      <c r="J19" s="33" t="s">
        <v>149</v>
      </c>
      <c r="K19" s="33" t="s">
        <v>149</v>
      </c>
      <c r="L19" s="33" t="s">
        <v>149</v>
      </c>
      <c r="M19" s="33" t="s">
        <v>149</v>
      </c>
      <c r="N19" s="33" t="s">
        <v>149</v>
      </c>
    </row>
    <row r="20" spans="1:14" x14ac:dyDescent="0.25">
      <c r="A20" s="113"/>
      <c r="B20" s="34">
        <v>2007</v>
      </c>
      <c r="C20" s="33" t="s">
        <v>149</v>
      </c>
      <c r="D20" s="33" t="s">
        <v>149</v>
      </c>
      <c r="E20" s="33" t="s">
        <v>149</v>
      </c>
      <c r="F20" s="33" t="s">
        <v>149</v>
      </c>
      <c r="G20" s="33" t="s">
        <v>149</v>
      </c>
      <c r="H20" s="33" t="s">
        <v>149</v>
      </c>
      <c r="I20" s="33" t="s">
        <v>149</v>
      </c>
      <c r="J20" s="33" t="s">
        <v>149</v>
      </c>
      <c r="K20" s="33" t="s">
        <v>149</v>
      </c>
      <c r="L20" s="33" t="s">
        <v>149</v>
      </c>
      <c r="M20" s="33" t="s">
        <v>149</v>
      </c>
      <c r="N20" s="33" t="s">
        <v>149</v>
      </c>
    </row>
    <row r="21" spans="1:14" x14ac:dyDescent="0.25">
      <c r="A21" s="113"/>
      <c r="B21" s="34">
        <v>2008</v>
      </c>
      <c r="C21" s="33" t="s">
        <v>149</v>
      </c>
      <c r="D21" s="33" t="s">
        <v>149</v>
      </c>
      <c r="E21" s="33" t="s">
        <v>149</v>
      </c>
      <c r="F21" s="33" t="s">
        <v>149</v>
      </c>
      <c r="G21" s="33" t="s">
        <v>149</v>
      </c>
      <c r="H21" s="33" t="s">
        <v>149</v>
      </c>
      <c r="I21" s="33" t="s">
        <v>149</v>
      </c>
      <c r="J21" s="33" t="s">
        <v>149</v>
      </c>
      <c r="K21" s="33" t="s">
        <v>149</v>
      </c>
      <c r="L21" s="33" t="s">
        <v>149</v>
      </c>
      <c r="M21" s="33" t="s">
        <v>149</v>
      </c>
      <c r="N21" s="33" t="s">
        <v>149</v>
      </c>
    </row>
    <row r="22" spans="1:14" x14ac:dyDescent="0.25">
      <c r="A22" s="113"/>
      <c r="B22" s="34">
        <v>2009</v>
      </c>
      <c r="C22" s="33" t="s">
        <v>149</v>
      </c>
      <c r="D22" s="33" t="s">
        <v>149</v>
      </c>
      <c r="E22" s="33" t="s">
        <v>149</v>
      </c>
      <c r="F22" s="33" t="s">
        <v>149</v>
      </c>
      <c r="G22" s="33" t="s">
        <v>149</v>
      </c>
      <c r="H22" s="33" t="s">
        <v>149</v>
      </c>
      <c r="I22" s="33" t="s">
        <v>149</v>
      </c>
      <c r="J22" s="33" t="s">
        <v>149</v>
      </c>
      <c r="K22" s="33" t="s">
        <v>149</v>
      </c>
      <c r="L22" s="33" t="s">
        <v>149</v>
      </c>
      <c r="M22" s="33" t="s">
        <v>149</v>
      </c>
      <c r="N22" s="33" t="s">
        <v>149</v>
      </c>
    </row>
    <row r="23" spans="1:14" x14ac:dyDescent="0.25">
      <c r="A23" s="113"/>
      <c r="B23" s="34">
        <v>2010</v>
      </c>
      <c r="C23" s="33">
        <v>85264.71</v>
      </c>
      <c r="D23" s="33">
        <v>81835.570000000007</v>
      </c>
      <c r="E23" s="33">
        <v>74562.290000000008</v>
      </c>
      <c r="F23" s="33">
        <v>69824.009999999995</v>
      </c>
      <c r="G23" s="33">
        <v>92068.42</v>
      </c>
      <c r="H23" s="33">
        <v>98927.17</v>
      </c>
      <c r="I23" s="33">
        <v>104024.22</v>
      </c>
      <c r="J23" s="33">
        <v>108346.11</v>
      </c>
      <c r="K23" s="33">
        <v>93747.63</v>
      </c>
      <c r="L23" s="33">
        <v>73309.84</v>
      </c>
      <c r="M23" s="33">
        <v>79454.150000000009</v>
      </c>
      <c r="N23" s="33">
        <v>90848.02</v>
      </c>
    </row>
    <row r="24" spans="1:14" x14ac:dyDescent="0.25">
      <c r="A24" s="113"/>
      <c r="B24" s="34">
        <v>2011</v>
      </c>
      <c r="C24" s="33">
        <v>85965.69</v>
      </c>
      <c r="D24" s="33">
        <v>87676.94</v>
      </c>
      <c r="E24" s="33">
        <v>76964.05</v>
      </c>
      <c r="F24" s="33">
        <v>68204.942900000009</v>
      </c>
      <c r="G24" s="33">
        <v>75208.682099999991</v>
      </c>
      <c r="H24" s="33">
        <v>91832.349550000014</v>
      </c>
      <c r="I24" s="33">
        <v>98067.62079999999</v>
      </c>
      <c r="J24" s="33">
        <v>96870.964150000014</v>
      </c>
      <c r="K24" s="33">
        <v>87569.552550000037</v>
      </c>
      <c r="L24" s="33">
        <v>71648.492549999995</v>
      </c>
      <c r="M24" s="33">
        <v>72383.362099999969</v>
      </c>
      <c r="N24" s="33">
        <v>79051.785450000025</v>
      </c>
    </row>
    <row r="25" spans="1:14" x14ac:dyDescent="0.25">
      <c r="A25" s="113"/>
      <c r="B25" s="34">
        <v>2012</v>
      </c>
      <c r="C25" s="33">
        <v>70600</v>
      </c>
      <c r="D25" s="33">
        <v>67013</v>
      </c>
      <c r="E25" s="33">
        <v>63375</v>
      </c>
      <c r="F25" s="33">
        <v>58449</v>
      </c>
      <c r="G25" s="33">
        <v>70656</v>
      </c>
      <c r="H25" s="33">
        <v>92955</v>
      </c>
      <c r="I25" s="33">
        <v>96769</v>
      </c>
      <c r="J25" s="33">
        <v>89327</v>
      </c>
      <c r="K25" s="33">
        <v>83877</v>
      </c>
      <c r="L25" s="33">
        <v>61312</v>
      </c>
      <c r="M25" s="33">
        <v>66201</v>
      </c>
      <c r="N25" s="33">
        <v>69270</v>
      </c>
    </row>
    <row r="26" spans="1:14" x14ac:dyDescent="0.25">
      <c r="A26" s="113"/>
      <c r="B26" s="34">
        <v>2013</v>
      </c>
      <c r="C26" s="33">
        <v>93797.6</v>
      </c>
      <c r="D26" s="33">
        <v>92559.6</v>
      </c>
      <c r="E26" s="33">
        <v>85284.1</v>
      </c>
      <c r="F26" s="33">
        <v>79153.600000000006</v>
      </c>
      <c r="G26" s="33">
        <v>98121.9</v>
      </c>
      <c r="H26" s="33">
        <v>110585.9</v>
      </c>
      <c r="I26" s="33">
        <v>121124.3</v>
      </c>
      <c r="J26" s="33">
        <v>117842.9</v>
      </c>
      <c r="K26" s="33">
        <v>115803.6</v>
      </c>
      <c r="L26" s="33">
        <v>89798.7</v>
      </c>
      <c r="M26" s="33">
        <v>90021</v>
      </c>
      <c r="N26" s="33">
        <v>95803.3</v>
      </c>
    </row>
    <row r="27" spans="1:14" x14ac:dyDescent="0.25">
      <c r="A27" s="113"/>
      <c r="B27" s="34">
        <v>2014</v>
      </c>
      <c r="C27" s="36">
        <v>107927.3</v>
      </c>
      <c r="D27" s="36">
        <v>101304.4</v>
      </c>
      <c r="E27" s="36">
        <v>96058.7</v>
      </c>
      <c r="F27" s="36">
        <v>80236</v>
      </c>
      <c r="G27" s="36">
        <v>92600.3</v>
      </c>
      <c r="H27" s="36">
        <v>109196.2</v>
      </c>
      <c r="I27" s="36">
        <v>113506.9</v>
      </c>
      <c r="J27" s="36">
        <v>113429.2</v>
      </c>
      <c r="K27" s="36">
        <v>109527.4</v>
      </c>
      <c r="L27" s="36">
        <v>87007</v>
      </c>
      <c r="M27" s="36">
        <v>95703</v>
      </c>
      <c r="N27" s="36">
        <v>91339</v>
      </c>
    </row>
    <row r="28" spans="1:14" x14ac:dyDescent="0.25">
      <c r="A28" s="113"/>
      <c r="B28" s="34">
        <v>2015</v>
      </c>
      <c r="C28" s="39">
        <v>104723</v>
      </c>
      <c r="D28" s="39">
        <v>99159</v>
      </c>
      <c r="E28" s="39">
        <v>95741</v>
      </c>
      <c r="F28" s="39">
        <v>78291</v>
      </c>
      <c r="G28" s="39">
        <v>92464</v>
      </c>
      <c r="H28" s="39">
        <v>106054</v>
      </c>
      <c r="I28" s="39">
        <v>118325</v>
      </c>
      <c r="J28" s="39">
        <v>113012</v>
      </c>
      <c r="K28" s="39">
        <v>111857</v>
      </c>
      <c r="L28" s="39">
        <v>83186</v>
      </c>
      <c r="M28" s="39">
        <v>82367</v>
      </c>
      <c r="N28" s="39">
        <v>85296</v>
      </c>
    </row>
    <row r="29" spans="1:14" x14ac:dyDescent="0.25">
      <c r="A29" s="113"/>
      <c r="B29" s="34">
        <v>2016</v>
      </c>
      <c r="C29" s="38">
        <v>95920</v>
      </c>
      <c r="D29" s="38">
        <v>91654</v>
      </c>
      <c r="E29" s="38">
        <v>81073</v>
      </c>
      <c r="F29" s="38">
        <v>78230</v>
      </c>
      <c r="G29" s="38">
        <v>93952</v>
      </c>
      <c r="H29" s="38">
        <v>111350</v>
      </c>
      <c r="I29" s="38">
        <v>119506</v>
      </c>
      <c r="J29" s="38">
        <v>118413</v>
      </c>
      <c r="K29" s="38">
        <v>113557</v>
      </c>
      <c r="L29" s="38">
        <v>89127</v>
      </c>
      <c r="M29" s="38">
        <v>80912</v>
      </c>
      <c r="N29" s="38">
        <v>99054</v>
      </c>
    </row>
    <row r="30" spans="1:14" x14ac:dyDescent="0.25">
      <c r="A30" s="32" t="s">
        <v>142</v>
      </c>
      <c r="B30" s="34" t="s">
        <v>143</v>
      </c>
      <c r="C30" s="38">
        <v>103867</v>
      </c>
      <c r="D30" s="38">
        <v>95220.800000000003</v>
      </c>
      <c r="E30" s="38">
        <v>92406.399999999994</v>
      </c>
      <c r="F30" s="38">
        <v>86298.6</v>
      </c>
      <c r="G30" s="38">
        <v>98473.7</v>
      </c>
      <c r="H30" s="38">
        <v>116607.8</v>
      </c>
      <c r="I30" s="38">
        <v>125000.3</v>
      </c>
      <c r="J30" s="38">
        <v>124809.9</v>
      </c>
      <c r="K30" s="38">
        <v>111790.7</v>
      </c>
      <c r="L30" s="38">
        <v>91213.6</v>
      </c>
      <c r="M30" s="38">
        <v>90038.6</v>
      </c>
      <c r="N30" s="38">
        <v>97900.5</v>
      </c>
    </row>
    <row r="31" spans="1:14" x14ac:dyDescent="0.25">
      <c r="B31" s="34" t="s">
        <v>144</v>
      </c>
      <c r="C31" s="38">
        <v>103730.7</v>
      </c>
      <c r="D31" s="38">
        <v>95341.4</v>
      </c>
      <c r="E31" s="38">
        <v>91310.6</v>
      </c>
      <c r="F31" s="38">
        <v>85249.8</v>
      </c>
      <c r="G31" s="38">
        <v>95920.1</v>
      </c>
      <c r="H31" s="38">
        <v>117056.7</v>
      </c>
      <c r="I31" s="38">
        <v>125313.60000000001</v>
      </c>
      <c r="J31" s="38">
        <v>125568.1</v>
      </c>
      <c r="K31" s="38">
        <v>112646.39999999999</v>
      </c>
      <c r="L31" s="38">
        <v>91984.3</v>
      </c>
      <c r="M31" s="38">
        <v>90780.5</v>
      </c>
      <c r="N31" s="38">
        <v>98608.8</v>
      </c>
    </row>
    <row r="32" spans="1:14" x14ac:dyDescent="0.25">
      <c r="C32" s="43"/>
      <c r="D32" s="43"/>
      <c r="E32" s="43"/>
      <c r="F32" s="43"/>
      <c r="G32" s="43"/>
      <c r="H32" s="43"/>
      <c r="I32" s="43"/>
      <c r="J32" s="43"/>
      <c r="K32" s="43"/>
      <c r="L32" s="43"/>
      <c r="M32" s="43"/>
      <c r="N32" s="43"/>
    </row>
    <row r="33" spans="3:14" x14ac:dyDescent="0.25">
      <c r="C33" s="43"/>
      <c r="D33" s="43"/>
      <c r="E33" s="43"/>
      <c r="F33" s="43"/>
      <c r="G33" s="43"/>
      <c r="H33" s="43"/>
      <c r="I33" s="43"/>
      <c r="J33" s="43"/>
      <c r="K33" s="43"/>
      <c r="L33" s="43"/>
      <c r="M33" s="43"/>
      <c r="N33" s="43"/>
    </row>
    <row r="34" spans="3:14" x14ac:dyDescent="0.25">
      <c r="C34" s="43"/>
      <c r="D34" s="43"/>
      <c r="E34" s="43"/>
      <c r="F34" s="43"/>
      <c r="G34" s="43"/>
      <c r="H34" s="43"/>
      <c r="I34" s="43"/>
      <c r="J34" s="43"/>
      <c r="K34" s="43"/>
      <c r="L34" s="43"/>
      <c r="M34" s="43"/>
      <c r="N34" s="43"/>
    </row>
    <row r="35" spans="3:14" x14ac:dyDescent="0.25">
      <c r="C35" s="43"/>
      <c r="D35" s="43"/>
      <c r="E35" s="43"/>
      <c r="F35" s="43"/>
      <c r="G35" s="43"/>
      <c r="H35" s="43"/>
      <c r="I35" s="43"/>
      <c r="J35" s="43"/>
      <c r="K35" s="43"/>
      <c r="L35" s="43"/>
      <c r="M35" s="43"/>
      <c r="N35" s="43"/>
    </row>
  </sheetData>
  <mergeCells count="1">
    <mergeCell ref="A9:A29"/>
  </mergeCells>
  <pageMargins left="0.5" right="0.5" top="0.75" bottom="0.75" header="0.3" footer="0.3"/>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31"/>
  <sheetViews>
    <sheetView showGridLines="0" workbookViewId="0"/>
  </sheetViews>
  <sheetFormatPr defaultColWidth="8.140625" defaultRowHeight="15" x14ac:dyDescent="0.25"/>
  <sheetData>
    <row r="1" spans="1:14" x14ac:dyDescent="0.25">
      <c r="A1" s="25" t="s">
        <v>123</v>
      </c>
      <c r="B1" s="26"/>
      <c r="C1" s="26"/>
      <c r="D1" s="27"/>
      <c r="E1" s="27"/>
      <c r="F1" s="27"/>
      <c r="G1" s="27"/>
      <c r="H1" s="27"/>
      <c r="I1" s="27"/>
      <c r="J1" s="27"/>
      <c r="K1" s="27"/>
      <c r="L1" s="27"/>
      <c r="M1" s="27"/>
      <c r="N1" s="27"/>
    </row>
    <row r="2" spans="1:14" x14ac:dyDescent="0.25">
      <c r="A2" s="25" t="s">
        <v>124</v>
      </c>
      <c r="B2" s="26"/>
      <c r="C2" s="26"/>
      <c r="D2" s="27"/>
      <c r="E2" s="27"/>
      <c r="F2" s="27"/>
      <c r="G2" s="27"/>
      <c r="H2" s="27"/>
      <c r="I2" s="27"/>
      <c r="J2" s="27"/>
      <c r="K2" s="27"/>
      <c r="L2" s="27"/>
      <c r="M2" s="27"/>
      <c r="N2" s="27"/>
    </row>
    <row r="3" spans="1:14" x14ac:dyDescent="0.25">
      <c r="A3" s="25"/>
      <c r="B3" s="26"/>
      <c r="C3" s="26"/>
      <c r="D3" s="27"/>
      <c r="E3" s="27"/>
      <c r="F3" s="27"/>
      <c r="G3" s="27"/>
      <c r="H3" s="27"/>
      <c r="I3" s="27"/>
      <c r="J3" s="27"/>
      <c r="K3" s="27"/>
      <c r="L3" s="27"/>
      <c r="M3" s="27"/>
      <c r="N3" s="27"/>
    </row>
    <row r="4" spans="1:14" ht="15.75" customHeight="1" x14ac:dyDescent="0.25">
      <c r="A4" s="28" t="s">
        <v>150</v>
      </c>
      <c r="B4" s="27"/>
      <c r="C4" s="27"/>
      <c r="D4" s="29"/>
      <c r="E4" s="27"/>
      <c r="F4" s="27"/>
      <c r="G4" s="27"/>
      <c r="H4" s="27"/>
      <c r="I4" s="27"/>
      <c r="J4" s="27"/>
      <c r="K4" s="27"/>
      <c r="L4" s="27"/>
      <c r="M4" s="27"/>
      <c r="N4" s="27"/>
    </row>
    <row r="5" spans="1:14" ht="15.75" customHeight="1" x14ac:dyDescent="0.25">
      <c r="A5" s="28" t="s">
        <v>126</v>
      </c>
      <c r="B5" s="27"/>
      <c r="C5" s="27"/>
      <c r="D5" s="29"/>
      <c r="E5" s="27"/>
      <c r="F5" s="27"/>
      <c r="G5" s="27"/>
      <c r="H5" s="27"/>
      <c r="I5" s="27"/>
      <c r="J5" s="27"/>
      <c r="K5" s="27"/>
      <c r="L5" s="27"/>
      <c r="M5" s="27"/>
      <c r="N5" s="27"/>
    </row>
    <row r="6" spans="1:14" x14ac:dyDescent="0.25">
      <c r="A6" s="15" t="s">
        <v>127</v>
      </c>
      <c r="B6" s="27"/>
      <c r="C6" s="27"/>
      <c r="D6" s="27"/>
      <c r="E6" s="27"/>
      <c r="F6" s="27"/>
      <c r="G6" s="27"/>
      <c r="H6" s="27"/>
      <c r="I6" s="27"/>
      <c r="J6" s="27"/>
      <c r="K6" s="27"/>
      <c r="L6" s="27"/>
      <c r="M6" s="27"/>
      <c r="N6" s="27"/>
    </row>
    <row r="7" spans="1:14" x14ac:dyDescent="0.25">
      <c r="A7" s="40"/>
      <c r="B7" s="27"/>
      <c r="C7" s="27"/>
      <c r="D7" s="27"/>
      <c r="E7" s="27"/>
      <c r="F7" s="27"/>
      <c r="G7" s="27"/>
      <c r="H7" s="27"/>
      <c r="I7" s="27"/>
      <c r="J7" s="27"/>
      <c r="K7" s="27"/>
      <c r="L7" s="27"/>
      <c r="M7" s="27"/>
      <c r="N7" s="27"/>
    </row>
    <row r="8" spans="1:14" ht="18" customHeight="1" thickBot="1" x14ac:dyDescent="0.3">
      <c r="A8" s="41" t="s">
        <v>151</v>
      </c>
      <c r="B8" s="19" t="s">
        <v>89</v>
      </c>
      <c r="C8" s="19" t="s">
        <v>129</v>
      </c>
      <c r="D8" s="19" t="s">
        <v>130</v>
      </c>
      <c r="E8" s="19" t="s">
        <v>131</v>
      </c>
      <c r="F8" s="19" t="s">
        <v>132</v>
      </c>
      <c r="G8" s="19" t="s">
        <v>133</v>
      </c>
      <c r="H8" s="19" t="s">
        <v>134</v>
      </c>
      <c r="I8" s="19" t="s">
        <v>135</v>
      </c>
      <c r="J8" s="19" t="s">
        <v>136</v>
      </c>
      <c r="K8" s="19" t="s">
        <v>137</v>
      </c>
      <c r="L8" s="19" t="s">
        <v>138</v>
      </c>
      <c r="M8" s="19" t="s">
        <v>139</v>
      </c>
      <c r="N8" s="19" t="s">
        <v>140</v>
      </c>
    </row>
    <row r="9" spans="1:14" ht="15.75" customHeight="1" thickTop="1" x14ac:dyDescent="0.25">
      <c r="A9" s="127" t="s">
        <v>141</v>
      </c>
      <c r="B9" s="42">
        <v>1996</v>
      </c>
      <c r="C9" s="31">
        <v>46801</v>
      </c>
      <c r="D9" s="31">
        <v>46506</v>
      </c>
      <c r="E9" s="31">
        <v>44043</v>
      </c>
      <c r="F9" s="31">
        <v>39428</v>
      </c>
      <c r="G9" s="31">
        <v>52072</v>
      </c>
      <c r="H9" s="31">
        <v>56569</v>
      </c>
      <c r="I9" s="31">
        <v>59826</v>
      </c>
      <c r="J9" s="31">
        <v>57907</v>
      </c>
      <c r="K9" s="31">
        <v>52017</v>
      </c>
      <c r="L9" s="31">
        <v>41352</v>
      </c>
      <c r="M9" s="31">
        <v>42117</v>
      </c>
      <c r="N9" s="31">
        <v>48274</v>
      </c>
    </row>
    <row r="10" spans="1:14" x14ac:dyDescent="0.25">
      <c r="A10" s="113"/>
      <c r="B10" s="34">
        <v>1997</v>
      </c>
      <c r="C10" s="33">
        <v>26931</v>
      </c>
      <c r="D10" s="33">
        <v>23739</v>
      </c>
      <c r="E10" s="33">
        <v>22386</v>
      </c>
      <c r="F10" s="33">
        <v>22283</v>
      </c>
      <c r="G10" s="33">
        <v>24746</v>
      </c>
      <c r="H10" s="33">
        <v>32950</v>
      </c>
      <c r="I10" s="33">
        <v>36267</v>
      </c>
      <c r="J10" s="33">
        <v>35024</v>
      </c>
      <c r="K10" s="33">
        <v>33793</v>
      </c>
      <c r="L10" s="33">
        <v>28435</v>
      </c>
      <c r="M10" s="33">
        <v>24029</v>
      </c>
      <c r="N10" s="33">
        <v>25020</v>
      </c>
    </row>
    <row r="11" spans="1:14" x14ac:dyDescent="0.25">
      <c r="A11" s="113"/>
      <c r="B11" s="34">
        <v>1998</v>
      </c>
      <c r="C11" s="33">
        <v>24313</v>
      </c>
      <c r="D11" s="33">
        <v>23137</v>
      </c>
      <c r="E11" s="33">
        <v>24878</v>
      </c>
      <c r="F11" s="33">
        <v>22119</v>
      </c>
      <c r="G11" s="33">
        <v>32030</v>
      </c>
      <c r="H11" s="33">
        <v>36086</v>
      </c>
      <c r="I11" s="33">
        <v>37383</v>
      </c>
      <c r="J11" s="33">
        <v>36976</v>
      </c>
      <c r="K11" s="33">
        <v>35910</v>
      </c>
      <c r="L11" s="33">
        <v>25231</v>
      </c>
      <c r="M11" s="33">
        <v>22274</v>
      </c>
      <c r="N11" s="33">
        <v>26725</v>
      </c>
    </row>
    <row r="12" spans="1:14" x14ac:dyDescent="0.25">
      <c r="A12" s="113"/>
      <c r="B12" s="34">
        <v>1999</v>
      </c>
      <c r="C12" s="33">
        <v>26757</v>
      </c>
      <c r="D12" s="33">
        <v>23604</v>
      </c>
      <c r="E12" s="33">
        <v>23086</v>
      </c>
      <c r="F12" s="33">
        <v>23648</v>
      </c>
      <c r="G12" s="33">
        <v>25872</v>
      </c>
      <c r="H12" s="33">
        <v>32783</v>
      </c>
      <c r="I12" s="33">
        <v>37958</v>
      </c>
      <c r="J12" s="33">
        <v>38609</v>
      </c>
      <c r="K12" s="33">
        <v>34692</v>
      </c>
      <c r="L12" s="33">
        <v>25745</v>
      </c>
      <c r="M12" s="33">
        <v>22773</v>
      </c>
      <c r="N12" s="33">
        <v>25415</v>
      </c>
    </row>
    <row r="13" spans="1:14" x14ac:dyDescent="0.25">
      <c r="A13" s="113"/>
      <c r="B13" s="34">
        <v>2000</v>
      </c>
      <c r="C13" s="33">
        <v>26415</v>
      </c>
      <c r="D13" s="33">
        <v>25463</v>
      </c>
      <c r="E13" s="33">
        <v>23516</v>
      </c>
      <c r="F13" s="33">
        <v>25516</v>
      </c>
      <c r="G13" s="33">
        <v>35188</v>
      </c>
      <c r="H13" s="33">
        <v>34162</v>
      </c>
      <c r="I13" s="33">
        <v>38864</v>
      </c>
      <c r="J13" s="33">
        <v>40101</v>
      </c>
      <c r="K13" s="33">
        <v>39246</v>
      </c>
      <c r="L13" s="33">
        <v>30910</v>
      </c>
      <c r="M13" s="33">
        <v>25942</v>
      </c>
      <c r="N13" s="33">
        <v>30137</v>
      </c>
    </row>
    <row r="14" spans="1:14" x14ac:dyDescent="0.25">
      <c r="A14" s="113"/>
      <c r="B14" s="34">
        <v>2001</v>
      </c>
      <c r="C14" s="33">
        <v>28039</v>
      </c>
      <c r="D14" s="33">
        <v>26733</v>
      </c>
      <c r="E14" s="33">
        <v>24707</v>
      </c>
      <c r="F14" s="33">
        <v>26240</v>
      </c>
      <c r="G14" s="33">
        <v>32043</v>
      </c>
      <c r="H14" s="33">
        <v>35636</v>
      </c>
      <c r="I14" s="33">
        <v>40063</v>
      </c>
      <c r="J14" s="33">
        <v>39782</v>
      </c>
      <c r="K14" s="33">
        <v>34312</v>
      </c>
      <c r="L14" s="33">
        <v>26688</v>
      </c>
      <c r="M14" s="33">
        <v>26949</v>
      </c>
      <c r="N14" s="33">
        <v>25951</v>
      </c>
    </row>
    <row r="15" spans="1:14" x14ac:dyDescent="0.25">
      <c r="A15" s="113"/>
      <c r="B15" s="34">
        <v>2002</v>
      </c>
      <c r="C15" s="33">
        <v>28485</v>
      </c>
      <c r="D15" s="33">
        <v>28191</v>
      </c>
      <c r="E15" s="33">
        <v>27833</v>
      </c>
      <c r="F15" s="33">
        <v>28356</v>
      </c>
      <c r="G15" s="33">
        <v>32514</v>
      </c>
      <c r="H15" s="33">
        <v>36228</v>
      </c>
      <c r="I15" s="33">
        <v>39125</v>
      </c>
      <c r="J15" s="33">
        <v>39571</v>
      </c>
      <c r="K15" s="33">
        <v>37659</v>
      </c>
      <c r="L15" s="33">
        <v>31961</v>
      </c>
      <c r="M15" s="33">
        <v>25788</v>
      </c>
      <c r="N15" s="33">
        <v>27710</v>
      </c>
    </row>
    <row r="16" spans="1:14" x14ac:dyDescent="0.25">
      <c r="A16" s="113"/>
      <c r="B16" s="34">
        <v>2003</v>
      </c>
      <c r="C16" s="33">
        <v>28850</v>
      </c>
      <c r="D16" s="33">
        <v>27922</v>
      </c>
      <c r="E16" s="33">
        <v>26026</v>
      </c>
      <c r="F16" s="33">
        <v>26518</v>
      </c>
      <c r="G16" s="33">
        <v>32880</v>
      </c>
      <c r="H16" s="33">
        <v>35810</v>
      </c>
      <c r="I16" s="33">
        <v>39133</v>
      </c>
      <c r="J16" s="33">
        <v>40214</v>
      </c>
      <c r="K16" s="33">
        <v>32876</v>
      </c>
      <c r="L16" s="33">
        <v>26372</v>
      </c>
      <c r="M16" s="33">
        <v>25204</v>
      </c>
      <c r="N16" s="33">
        <v>27259</v>
      </c>
    </row>
    <row r="17" spans="1:14" x14ac:dyDescent="0.25">
      <c r="A17" s="113"/>
      <c r="B17" s="34">
        <v>2004</v>
      </c>
      <c r="C17" s="33">
        <v>29010</v>
      </c>
      <c r="D17" s="33">
        <v>27454</v>
      </c>
      <c r="E17" s="33">
        <v>23566</v>
      </c>
      <c r="F17" s="33">
        <v>24583</v>
      </c>
      <c r="G17" s="33">
        <v>32878</v>
      </c>
      <c r="H17" s="33">
        <v>36137</v>
      </c>
      <c r="I17" s="33">
        <v>39893</v>
      </c>
      <c r="J17" s="33">
        <v>39734</v>
      </c>
      <c r="K17" s="33">
        <v>36117</v>
      </c>
      <c r="L17" s="33">
        <v>27158</v>
      </c>
      <c r="M17" s="33">
        <v>26603</v>
      </c>
      <c r="N17" s="33">
        <v>29782</v>
      </c>
    </row>
    <row r="18" spans="1:14" x14ac:dyDescent="0.25">
      <c r="A18" s="113"/>
      <c r="B18" s="34">
        <v>2005</v>
      </c>
      <c r="C18" s="33">
        <v>29072</v>
      </c>
      <c r="D18" s="33">
        <v>27128</v>
      </c>
      <c r="E18" s="33">
        <v>25247</v>
      </c>
      <c r="F18" s="33">
        <v>25656</v>
      </c>
      <c r="G18" s="33">
        <v>34261</v>
      </c>
      <c r="H18" s="33">
        <v>39437</v>
      </c>
      <c r="I18" s="33">
        <v>41306</v>
      </c>
      <c r="J18" s="33">
        <v>40771</v>
      </c>
      <c r="K18" s="33">
        <v>37772</v>
      </c>
      <c r="L18" s="33">
        <v>33042</v>
      </c>
      <c r="M18" s="33">
        <v>27333</v>
      </c>
      <c r="N18" s="33">
        <v>31764</v>
      </c>
    </row>
    <row r="19" spans="1:14" x14ac:dyDescent="0.25">
      <c r="A19" s="113"/>
      <c r="B19" s="34">
        <v>2006</v>
      </c>
      <c r="C19" s="33">
        <v>26864</v>
      </c>
      <c r="D19" s="33">
        <v>28402</v>
      </c>
      <c r="E19" s="33">
        <v>25548</v>
      </c>
      <c r="F19" s="33">
        <v>31231</v>
      </c>
      <c r="G19" s="33">
        <v>36115</v>
      </c>
      <c r="H19" s="33">
        <v>37754</v>
      </c>
      <c r="I19" s="33">
        <v>42556</v>
      </c>
      <c r="J19" s="33">
        <v>42405</v>
      </c>
      <c r="K19" s="33">
        <v>33342</v>
      </c>
      <c r="L19" s="33">
        <v>33653</v>
      </c>
      <c r="M19" s="33">
        <v>29699</v>
      </c>
      <c r="N19" s="33">
        <v>30331</v>
      </c>
    </row>
    <row r="20" spans="1:14" x14ac:dyDescent="0.25">
      <c r="A20" s="113"/>
      <c r="B20" s="34">
        <v>2007</v>
      </c>
      <c r="C20" s="33">
        <v>30141</v>
      </c>
      <c r="D20" s="33">
        <v>31028</v>
      </c>
      <c r="E20" s="33">
        <v>25629</v>
      </c>
      <c r="F20" s="33">
        <v>26746</v>
      </c>
      <c r="G20" s="33">
        <v>31495</v>
      </c>
      <c r="H20" s="33">
        <v>36775</v>
      </c>
      <c r="I20" s="33">
        <v>38965</v>
      </c>
      <c r="J20" s="33">
        <v>43165</v>
      </c>
      <c r="K20" s="33">
        <v>36887</v>
      </c>
      <c r="L20" s="33">
        <v>33537</v>
      </c>
      <c r="M20" s="33">
        <v>26610</v>
      </c>
      <c r="N20" s="33">
        <v>29560</v>
      </c>
    </row>
    <row r="21" spans="1:14" x14ac:dyDescent="0.25">
      <c r="A21" s="113"/>
      <c r="B21" s="34">
        <v>2008</v>
      </c>
      <c r="C21" s="33">
        <v>31294</v>
      </c>
      <c r="D21" s="33">
        <v>30140</v>
      </c>
      <c r="E21" s="33">
        <v>28268</v>
      </c>
      <c r="F21" s="33">
        <v>27213</v>
      </c>
      <c r="G21" s="33">
        <v>33650</v>
      </c>
      <c r="H21" s="33">
        <v>38629</v>
      </c>
      <c r="I21" s="33">
        <v>41914</v>
      </c>
      <c r="J21" s="33">
        <v>43476</v>
      </c>
      <c r="K21" s="33">
        <v>34823</v>
      </c>
      <c r="L21" s="33">
        <v>27993</v>
      </c>
      <c r="M21" s="33">
        <v>27133</v>
      </c>
      <c r="N21" s="33">
        <v>32361</v>
      </c>
    </row>
    <row r="22" spans="1:14" x14ac:dyDescent="0.25">
      <c r="A22" s="113"/>
      <c r="B22" s="34">
        <v>2009</v>
      </c>
      <c r="C22" s="33">
        <v>31870.216516743749</v>
      </c>
      <c r="D22" s="33">
        <v>29357.5470585435</v>
      </c>
      <c r="E22" s="33">
        <v>27928.3065610675</v>
      </c>
      <c r="F22" s="33">
        <v>27342.79610528675</v>
      </c>
      <c r="G22" s="33">
        <v>30765.164905975002</v>
      </c>
      <c r="H22" s="33">
        <v>41302.429908483253</v>
      </c>
      <c r="I22" s="33">
        <v>41465.271999999997</v>
      </c>
      <c r="J22" s="33">
        <v>40392.933696679749</v>
      </c>
      <c r="K22" s="33">
        <v>33748.132285466032</v>
      </c>
      <c r="L22" s="33">
        <v>27269.835957183161</v>
      </c>
      <c r="M22" s="33">
        <v>26077.155752052691</v>
      </c>
      <c r="N22" s="33">
        <v>32027.600315534681</v>
      </c>
    </row>
    <row r="23" spans="1:14" x14ac:dyDescent="0.25">
      <c r="A23" s="113"/>
      <c r="B23" s="34">
        <v>2010</v>
      </c>
      <c r="C23" s="33">
        <v>42495.749674072751</v>
      </c>
      <c r="D23" s="33">
        <v>37893.117188133503</v>
      </c>
      <c r="E23" s="33">
        <v>34099.307961065249</v>
      </c>
      <c r="F23" s="33">
        <v>30831.861481126249</v>
      </c>
      <c r="G23" s="33">
        <v>40925.527106998001</v>
      </c>
      <c r="H23" s="33">
        <v>48883.326822632749</v>
      </c>
      <c r="I23" s="33">
        <v>49932.579910793</v>
      </c>
      <c r="J23" s="33">
        <v>53076.621909999987</v>
      </c>
      <c r="K23" s="33">
        <v>44536.423687298397</v>
      </c>
      <c r="L23" s="33">
        <v>33566.052556320508</v>
      </c>
      <c r="M23" s="33">
        <v>33815.982345300567</v>
      </c>
      <c r="N23" s="33">
        <v>37555.231023997803</v>
      </c>
    </row>
    <row r="24" spans="1:14" x14ac:dyDescent="0.25">
      <c r="A24" s="113"/>
      <c r="B24" s="34">
        <v>2011</v>
      </c>
      <c r="C24" s="33">
        <v>40445.459296379762</v>
      </c>
      <c r="D24" s="33">
        <v>38986.562055174058</v>
      </c>
      <c r="E24" s="33">
        <v>34366.405407337043</v>
      </c>
      <c r="F24" s="33">
        <v>33287.131692046183</v>
      </c>
      <c r="G24" s="33">
        <v>40417.073640822178</v>
      </c>
      <c r="H24" s="33">
        <v>48534.610475322443</v>
      </c>
      <c r="I24" s="33">
        <v>52612.662083914722</v>
      </c>
      <c r="J24" s="33">
        <v>53083.609359569622</v>
      </c>
      <c r="K24" s="33">
        <v>44750.017454004526</v>
      </c>
      <c r="L24" s="33">
        <v>36146.711612588093</v>
      </c>
      <c r="M24" s="33">
        <v>34522.017016046913</v>
      </c>
      <c r="N24" s="33">
        <v>39242.485585366201</v>
      </c>
    </row>
    <row r="25" spans="1:14" x14ac:dyDescent="0.25">
      <c r="A25" s="113"/>
      <c r="B25" s="34">
        <v>2012</v>
      </c>
      <c r="C25" s="33">
        <v>33842.303</v>
      </c>
      <c r="D25" s="33">
        <v>31830.66</v>
      </c>
      <c r="E25" s="33">
        <v>29140.978999999999</v>
      </c>
      <c r="F25" s="33">
        <v>34423.618000000002</v>
      </c>
      <c r="G25" s="33">
        <v>39911.427000000003</v>
      </c>
      <c r="H25" s="33">
        <v>48847.069000000003</v>
      </c>
      <c r="I25" s="33">
        <v>49847.517</v>
      </c>
      <c r="J25" s="33">
        <v>50246.133000000002</v>
      </c>
      <c r="K25" s="33">
        <v>47241.858</v>
      </c>
      <c r="L25" s="33">
        <v>30623.088</v>
      </c>
      <c r="M25" s="33">
        <v>30312.401999999998</v>
      </c>
      <c r="N25" s="33">
        <v>33281.504999999997</v>
      </c>
    </row>
    <row r="26" spans="1:14" x14ac:dyDescent="0.25">
      <c r="A26" s="113"/>
      <c r="B26" s="34">
        <v>2013</v>
      </c>
      <c r="C26" s="33">
        <v>35317.398283749513</v>
      </c>
      <c r="D26" s="33">
        <v>33891.1213071495</v>
      </c>
      <c r="E26" s="33">
        <v>32610.965614921512</v>
      </c>
      <c r="F26" s="33">
        <v>31552.569972491499</v>
      </c>
      <c r="G26" s="33">
        <v>36513.042112387513</v>
      </c>
      <c r="H26" s="33">
        <v>46218.687196319508</v>
      </c>
      <c r="I26" s="33">
        <v>47449.850310185502</v>
      </c>
      <c r="J26" s="33">
        <v>47647.399616391507</v>
      </c>
      <c r="K26" s="33">
        <v>45067.16590376151</v>
      </c>
      <c r="L26" s="33">
        <v>35909.08719014551</v>
      </c>
      <c r="M26" s="33">
        <v>33549.643476371501</v>
      </c>
      <c r="N26" s="33">
        <v>37044.879262497503</v>
      </c>
    </row>
    <row r="27" spans="1:14" x14ac:dyDescent="0.25">
      <c r="A27" s="113"/>
      <c r="B27" s="34">
        <v>2014</v>
      </c>
      <c r="C27" s="36">
        <v>37845.281000000003</v>
      </c>
      <c r="D27" s="36">
        <v>37136.556879999996</v>
      </c>
      <c r="E27" s="36">
        <v>36109.778999999988</v>
      </c>
      <c r="F27" s="36">
        <v>29294.30068</v>
      </c>
      <c r="G27" s="36">
        <v>36730.194000000003</v>
      </c>
      <c r="H27" s="36">
        <v>41515.712</v>
      </c>
      <c r="I27" s="36">
        <v>45053.427880000003</v>
      </c>
      <c r="J27" s="36">
        <v>46076.233480000003</v>
      </c>
      <c r="K27" s="36">
        <v>42660.138720000003</v>
      </c>
      <c r="L27" s="36">
        <v>34267.451000000001</v>
      </c>
      <c r="M27" s="36">
        <v>34554.224000000002</v>
      </c>
      <c r="N27" s="36">
        <v>33526.535999999993</v>
      </c>
    </row>
    <row r="28" spans="1:14" x14ac:dyDescent="0.25">
      <c r="A28" s="113"/>
      <c r="B28" s="34">
        <v>2015</v>
      </c>
      <c r="C28" s="39">
        <v>40231.518209222457</v>
      </c>
      <c r="D28" s="39">
        <v>38125.348423533258</v>
      </c>
      <c r="E28" s="39">
        <v>36927.138308220288</v>
      </c>
      <c r="F28" s="39">
        <v>31192.229516706459</v>
      </c>
      <c r="G28" s="39">
        <v>33906.831596878052</v>
      </c>
      <c r="H28" s="39">
        <v>45318.090080189228</v>
      </c>
      <c r="I28" s="39">
        <v>48894.003466227347</v>
      </c>
      <c r="J28" s="39">
        <v>47929.076844082338</v>
      </c>
      <c r="K28" s="39">
        <v>45258.990387713537</v>
      </c>
      <c r="L28" s="39">
        <v>35404.254548359997</v>
      </c>
      <c r="M28" s="39">
        <v>32167.95484432995</v>
      </c>
      <c r="N28" s="39">
        <v>30846.952388628401</v>
      </c>
    </row>
    <row r="29" spans="1:14" x14ac:dyDescent="0.25">
      <c r="A29" s="113"/>
      <c r="B29" s="34">
        <v>2016</v>
      </c>
      <c r="C29" s="39">
        <v>38748.230000000003</v>
      </c>
      <c r="D29" s="39">
        <v>36562.031000000003</v>
      </c>
      <c r="E29" s="39">
        <v>32928.927000000003</v>
      </c>
      <c r="F29" s="39">
        <v>32909.972999999998</v>
      </c>
      <c r="G29" s="39">
        <v>37424.911999999997</v>
      </c>
      <c r="H29" s="39">
        <v>49559.55799999999</v>
      </c>
      <c r="I29" s="39">
        <v>51802.680999999997</v>
      </c>
      <c r="J29" s="39">
        <v>51882.93099999999</v>
      </c>
      <c r="K29" s="39">
        <v>45676.56</v>
      </c>
      <c r="L29" s="39">
        <v>38354.743999999999</v>
      </c>
      <c r="M29" s="39">
        <v>34484.872000000003</v>
      </c>
      <c r="N29" s="39">
        <v>41533.675000000003</v>
      </c>
    </row>
    <row r="30" spans="1:14" x14ac:dyDescent="0.25">
      <c r="A30" s="32" t="s">
        <v>142</v>
      </c>
      <c r="B30" s="34" t="s">
        <v>143</v>
      </c>
      <c r="C30" s="39">
        <v>40786.32107848709</v>
      </c>
      <c r="D30" s="39">
        <v>39769.571633236003</v>
      </c>
      <c r="E30" s="39">
        <v>35922.736593359747</v>
      </c>
      <c r="F30" s="39">
        <v>34670.572601575623</v>
      </c>
      <c r="G30" s="39">
        <v>39868.457213893576</v>
      </c>
      <c r="H30" s="39">
        <v>47893.182316631617</v>
      </c>
      <c r="I30" s="39">
        <v>52403.478390935248</v>
      </c>
      <c r="J30" s="39">
        <v>52103.813850053171</v>
      </c>
      <c r="K30" s="39">
        <v>46244.452802474407</v>
      </c>
      <c r="L30" s="39">
        <v>38021.889613002662</v>
      </c>
      <c r="M30" s="39">
        <v>35875.684116431563</v>
      </c>
      <c r="N30" s="39">
        <v>39984.583269292452</v>
      </c>
    </row>
    <row r="31" spans="1:14" x14ac:dyDescent="0.25">
      <c r="B31" s="34" t="s">
        <v>144</v>
      </c>
      <c r="C31" s="39">
        <v>41215.177060000002</v>
      </c>
      <c r="D31" s="39">
        <v>40329.925900000002</v>
      </c>
      <c r="E31" s="39">
        <v>35913.810604000013</v>
      </c>
      <c r="F31" s="39">
        <v>34630.609965000003</v>
      </c>
      <c r="G31" s="39">
        <v>39763.159040000013</v>
      </c>
      <c r="H31" s="39">
        <v>48300.955980000013</v>
      </c>
      <c r="I31" s="39">
        <v>52553.745790000001</v>
      </c>
      <c r="J31" s="39">
        <v>52486.321170000003</v>
      </c>
      <c r="K31" s="39">
        <v>46597.652880000001</v>
      </c>
      <c r="L31" s="39">
        <v>38299.63001500001</v>
      </c>
      <c r="M31" s="39">
        <v>36194.446171000003</v>
      </c>
      <c r="N31" s="39">
        <v>40855.469640000003</v>
      </c>
    </row>
  </sheetData>
  <mergeCells count="1">
    <mergeCell ref="A9:A29"/>
  </mergeCells>
  <pageMargins left="0.5" right="0.5" top="0.75" bottom="0.75" header="0.3" footer="0.3"/>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31"/>
  <sheetViews>
    <sheetView showGridLines="0" workbookViewId="0"/>
  </sheetViews>
  <sheetFormatPr defaultColWidth="8.140625" defaultRowHeight="15" x14ac:dyDescent="0.25"/>
  <sheetData>
    <row r="1" spans="1:14" x14ac:dyDescent="0.25">
      <c r="A1" s="25" t="s">
        <v>123</v>
      </c>
      <c r="B1" s="26"/>
      <c r="C1" s="26"/>
      <c r="D1" s="27"/>
      <c r="E1" s="27"/>
      <c r="F1" s="27"/>
      <c r="G1" s="27"/>
      <c r="H1" s="27"/>
      <c r="I1" s="27"/>
      <c r="J1" s="27"/>
      <c r="K1" s="27"/>
      <c r="L1" s="27"/>
      <c r="M1" s="27"/>
      <c r="N1" s="27"/>
    </row>
    <row r="2" spans="1:14" x14ac:dyDescent="0.25">
      <c r="A2" s="25" t="s">
        <v>124</v>
      </c>
      <c r="B2" s="26"/>
      <c r="C2" s="26"/>
      <c r="D2" s="27"/>
      <c r="E2" s="27"/>
      <c r="F2" s="27"/>
      <c r="G2" s="27"/>
      <c r="H2" s="27"/>
      <c r="I2" s="27"/>
      <c r="J2" s="27"/>
      <c r="K2" s="27"/>
      <c r="L2" s="27"/>
      <c r="M2" s="27"/>
      <c r="N2" s="27"/>
    </row>
    <row r="3" spans="1:14" x14ac:dyDescent="0.25">
      <c r="A3" s="25"/>
      <c r="B3" s="26"/>
      <c r="C3" s="26"/>
      <c r="D3" s="27"/>
      <c r="E3" s="27"/>
      <c r="F3" s="27"/>
      <c r="G3" s="27"/>
      <c r="H3" s="27"/>
      <c r="I3" s="27"/>
      <c r="J3" s="27"/>
      <c r="K3" s="27"/>
      <c r="L3" s="27"/>
      <c r="M3" s="27"/>
      <c r="N3" s="27"/>
    </row>
    <row r="4" spans="1:14" ht="15.75" customHeight="1" x14ac:dyDescent="0.25">
      <c r="A4" s="28" t="s">
        <v>152</v>
      </c>
      <c r="B4" s="27"/>
      <c r="C4" s="27"/>
      <c r="D4" s="29"/>
      <c r="E4" s="27"/>
      <c r="F4" s="27"/>
      <c r="G4" s="27"/>
      <c r="H4" s="27"/>
      <c r="I4" s="27"/>
      <c r="J4" s="27"/>
      <c r="K4" s="27"/>
      <c r="L4" s="27"/>
      <c r="M4" s="27"/>
      <c r="N4" s="27"/>
    </row>
    <row r="5" spans="1:14" ht="15.75" customHeight="1" x14ac:dyDescent="0.25">
      <c r="A5" s="28" t="s">
        <v>126</v>
      </c>
      <c r="B5" s="27"/>
      <c r="C5" s="27"/>
      <c r="D5" s="29"/>
      <c r="E5" s="27"/>
      <c r="F5" s="27"/>
      <c r="G5" s="27"/>
      <c r="H5" s="27"/>
      <c r="I5" s="27"/>
      <c r="J5" s="27"/>
      <c r="K5" s="27"/>
      <c r="L5" s="27"/>
      <c r="M5" s="27"/>
      <c r="N5" s="27"/>
    </row>
    <row r="6" spans="1:14" x14ac:dyDescent="0.25">
      <c r="A6" s="15" t="s">
        <v>127</v>
      </c>
      <c r="B6" s="27"/>
      <c r="C6" s="27"/>
      <c r="D6" s="27"/>
      <c r="E6" s="27"/>
      <c r="F6" s="27"/>
      <c r="G6" s="27"/>
      <c r="H6" s="27"/>
      <c r="I6" s="27"/>
      <c r="J6" s="27"/>
      <c r="K6" s="27"/>
      <c r="L6" s="27"/>
      <c r="M6" s="27"/>
      <c r="N6" s="27"/>
    </row>
    <row r="7" spans="1:14" x14ac:dyDescent="0.25">
      <c r="A7" s="40"/>
      <c r="B7" s="27"/>
      <c r="C7" s="27"/>
      <c r="D7" s="27"/>
      <c r="E7" s="27"/>
      <c r="F7" s="27"/>
      <c r="G7" s="27"/>
      <c r="H7" s="27"/>
      <c r="I7" s="27"/>
      <c r="J7" s="27"/>
      <c r="K7" s="27"/>
      <c r="L7" s="27"/>
      <c r="M7" s="27"/>
      <c r="N7" s="27"/>
    </row>
    <row r="8" spans="1:14" ht="18" customHeight="1" thickBot="1" x14ac:dyDescent="0.3">
      <c r="A8" s="41" t="s">
        <v>20</v>
      </c>
      <c r="B8" s="19" t="s">
        <v>89</v>
      </c>
      <c r="C8" s="19" t="s">
        <v>129</v>
      </c>
      <c r="D8" s="19" t="s">
        <v>130</v>
      </c>
      <c r="E8" s="19" t="s">
        <v>131</v>
      </c>
      <c r="F8" s="19" t="s">
        <v>132</v>
      </c>
      <c r="G8" s="19" t="s">
        <v>133</v>
      </c>
      <c r="H8" s="19" t="s">
        <v>134</v>
      </c>
      <c r="I8" s="19" t="s">
        <v>135</v>
      </c>
      <c r="J8" s="19" t="s">
        <v>136</v>
      </c>
      <c r="K8" s="19" t="s">
        <v>137</v>
      </c>
      <c r="L8" s="19" t="s">
        <v>138</v>
      </c>
      <c r="M8" s="19" t="s">
        <v>139</v>
      </c>
      <c r="N8" s="19" t="s">
        <v>140</v>
      </c>
    </row>
    <row r="9" spans="1:14" ht="15.75" customHeight="1" thickTop="1" x14ac:dyDescent="0.25">
      <c r="A9" s="127" t="s">
        <v>141</v>
      </c>
      <c r="B9" s="42">
        <v>1996</v>
      </c>
      <c r="C9" s="31" t="s">
        <v>149</v>
      </c>
      <c r="D9" s="31" t="s">
        <v>149</v>
      </c>
      <c r="E9" s="31" t="s">
        <v>149</v>
      </c>
      <c r="F9" s="31" t="s">
        <v>149</v>
      </c>
      <c r="G9" s="31" t="s">
        <v>149</v>
      </c>
      <c r="H9" s="31" t="s">
        <v>149</v>
      </c>
      <c r="I9" s="31" t="s">
        <v>149</v>
      </c>
      <c r="J9" s="31" t="s">
        <v>149</v>
      </c>
      <c r="K9" s="31" t="s">
        <v>149</v>
      </c>
      <c r="L9" s="31" t="s">
        <v>149</v>
      </c>
      <c r="M9" s="31" t="s">
        <v>149</v>
      </c>
      <c r="N9" s="31" t="s">
        <v>149</v>
      </c>
    </row>
    <row r="10" spans="1:14" x14ac:dyDescent="0.25">
      <c r="A10" s="113"/>
      <c r="B10" s="34">
        <v>1997</v>
      </c>
      <c r="C10" s="33" t="s">
        <v>149</v>
      </c>
      <c r="D10" s="33" t="s">
        <v>149</v>
      </c>
      <c r="E10" s="33" t="s">
        <v>149</v>
      </c>
      <c r="F10" s="33" t="s">
        <v>149</v>
      </c>
      <c r="G10" s="33" t="s">
        <v>149</v>
      </c>
      <c r="H10" s="33" t="s">
        <v>149</v>
      </c>
      <c r="I10" s="33" t="s">
        <v>149</v>
      </c>
      <c r="J10" s="33" t="s">
        <v>149</v>
      </c>
      <c r="K10" s="33" t="s">
        <v>149</v>
      </c>
      <c r="L10" s="33" t="s">
        <v>149</v>
      </c>
      <c r="M10" s="33" t="s">
        <v>149</v>
      </c>
      <c r="N10" s="33" t="s">
        <v>149</v>
      </c>
    </row>
    <row r="11" spans="1:14" x14ac:dyDescent="0.25">
      <c r="A11" s="113"/>
      <c r="B11" s="34">
        <v>1998</v>
      </c>
      <c r="C11" s="33" t="s">
        <v>149</v>
      </c>
      <c r="D11" s="33" t="s">
        <v>149</v>
      </c>
      <c r="E11" s="33" t="s">
        <v>149</v>
      </c>
      <c r="F11" s="33" t="s">
        <v>149</v>
      </c>
      <c r="G11" s="33" t="s">
        <v>149</v>
      </c>
      <c r="H11" s="33" t="s">
        <v>149</v>
      </c>
      <c r="I11" s="33" t="s">
        <v>149</v>
      </c>
      <c r="J11" s="33" t="s">
        <v>149</v>
      </c>
      <c r="K11" s="33" t="s">
        <v>149</v>
      </c>
      <c r="L11" s="33" t="s">
        <v>149</v>
      </c>
      <c r="M11" s="33" t="s">
        <v>149</v>
      </c>
      <c r="N11" s="33" t="s">
        <v>149</v>
      </c>
    </row>
    <row r="12" spans="1:14" x14ac:dyDescent="0.25">
      <c r="A12" s="113"/>
      <c r="B12" s="34">
        <v>1999</v>
      </c>
      <c r="C12" s="33" t="s">
        <v>149</v>
      </c>
      <c r="D12" s="33" t="s">
        <v>149</v>
      </c>
      <c r="E12" s="33" t="s">
        <v>149</v>
      </c>
      <c r="F12" s="33" t="s">
        <v>149</v>
      </c>
      <c r="G12" s="33" t="s">
        <v>149</v>
      </c>
      <c r="H12" s="33" t="s">
        <v>149</v>
      </c>
      <c r="I12" s="33" t="s">
        <v>149</v>
      </c>
      <c r="J12" s="33" t="s">
        <v>149</v>
      </c>
      <c r="K12" s="33" t="s">
        <v>149</v>
      </c>
      <c r="L12" s="33" t="s">
        <v>149</v>
      </c>
      <c r="M12" s="33" t="s">
        <v>149</v>
      </c>
      <c r="N12" s="33" t="s">
        <v>149</v>
      </c>
    </row>
    <row r="13" spans="1:14" x14ac:dyDescent="0.25">
      <c r="A13" s="113"/>
      <c r="B13" s="34">
        <v>2000</v>
      </c>
      <c r="C13" s="33" t="s">
        <v>149</v>
      </c>
      <c r="D13" s="33" t="s">
        <v>149</v>
      </c>
      <c r="E13" s="33" t="s">
        <v>149</v>
      </c>
      <c r="F13" s="33" t="s">
        <v>149</v>
      </c>
      <c r="G13" s="33" t="s">
        <v>149</v>
      </c>
      <c r="H13" s="33" t="s">
        <v>149</v>
      </c>
      <c r="I13" s="33" t="s">
        <v>149</v>
      </c>
      <c r="J13" s="33" t="s">
        <v>149</v>
      </c>
      <c r="K13" s="33" t="s">
        <v>149</v>
      </c>
      <c r="L13" s="33" t="s">
        <v>149</v>
      </c>
      <c r="M13" s="33" t="s">
        <v>149</v>
      </c>
      <c r="N13" s="33" t="s">
        <v>149</v>
      </c>
    </row>
    <row r="14" spans="1:14" x14ac:dyDescent="0.25">
      <c r="A14" s="113"/>
      <c r="B14" s="34">
        <v>2001</v>
      </c>
      <c r="C14" s="33" t="s">
        <v>149</v>
      </c>
      <c r="D14" s="33" t="s">
        <v>149</v>
      </c>
      <c r="E14" s="33" t="s">
        <v>149</v>
      </c>
      <c r="F14" s="33" t="s">
        <v>149</v>
      </c>
      <c r="G14" s="33" t="s">
        <v>149</v>
      </c>
      <c r="H14" s="33" t="s">
        <v>149</v>
      </c>
      <c r="I14" s="33" t="s">
        <v>149</v>
      </c>
      <c r="J14" s="33" t="s">
        <v>149</v>
      </c>
      <c r="K14" s="33" t="s">
        <v>149</v>
      </c>
      <c r="L14" s="33" t="s">
        <v>149</v>
      </c>
      <c r="M14" s="33" t="s">
        <v>149</v>
      </c>
      <c r="N14" s="33" t="s">
        <v>149</v>
      </c>
    </row>
    <row r="15" spans="1:14" x14ac:dyDescent="0.25">
      <c r="A15" s="113"/>
      <c r="B15" s="34">
        <v>2002</v>
      </c>
      <c r="C15" s="33" t="s">
        <v>149</v>
      </c>
      <c r="D15" s="33" t="s">
        <v>149</v>
      </c>
      <c r="E15" s="33" t="s">
        <v>149</v>
      </c>
      <c r="F15" s="33" t="s">
        <v>149</v>
      </c>
      <c r="G15" s="33" t="s">
        <v>149</v>
      </c>
      <c r="H15" s="33" t="s">
        <v>149</v>
      </c>
      <c r="I15" s="33" t="s">
        <v>149</v>
      </c>
      <c r="J15" s="33" t="s">
        <v>149</v>
      </c>
      <c r="K15" s="33" t="s">
        <v>149</v>
      </c>
      <c r="L15" s="33" t="s">
        <v>149</v>
      </c>
      <c r="M15" s="33" t="s">
        <v>149</v>
      </c>
      <c r="N15" s="33" t="s">
        <v>149</v>
      </c>
    </row>
    <row r="16" spans="1:14" x14ac:dyDescent="0.25">
      <c r="A16" s="113"/>
      <c r="B16" s="34">
        <v>2003</v>
      </c>
      <c r="C16" s="33" t="s">
        <v>149</v>
      </c>
      <c r="D16" s="33" t="s">
        <v>149</v>
      </c>
      <c r="E16" s="33" t="s">
        <v>149</v>
      </c>
      <c r="F16" s="33" t="s">
        <v>149</v>
      </c>
      <c r="G16" s="33" t="s">
        <v>149</v>
      </c>
      <c r="H16" s="33" t="s">
        <v>149</v>
      </c>
      <c r="I16" s="33" t="s">
        <v>149</v>
      </c>
      <c r="J16" s="33" t="s">
        <v>149</v>
      </c>
      <c r="K16" s="33" t="s">
        <v>149</v>
      </c>
      <c r="L16" s="33" t="s">
        <v>149</v>
      </c>
      <c r="M16" s="33" t="s">
        <v>149</v>
      </c>
      <c r="N16" s="33" t="s">
        <v>149</v>
      </c>
    </row>
    <row r="17" spans="1:14" x14ac:dyDescent="0.25">
      <c r="A17" s="113"/>
      <c r="B17" s="34">
        <v>2004</v>
      </c>
      <c r="C17" s="33" t="s">
        <v>149</v>
      </c>
      <c r="D17" s="33" t="s">
        <v>149</v>
      </c>
      <c r="E17" s="33" t="s">
        <v>149</v>
      </c>
      <c r="F17" s="33" t="s">
        <v>149</v>
      </c>
      <c r="G17" s="33" t="s">
        <v>149</v>
      </c>
      <c r="H17" s="33" t="s">
        <v>149</v>
      </c>
      <c r="I17" s="33" t="s">
        <v>149</v>
      </c>
      <c r="J17" s="33" t="s">
        <v>149</v>
      </c>
      <c r="K17" s="33" t="s">
        <v>149</v>
      </c>
      <c r="L17" s="33" t="s">
        <v>149</v>
      </c>
      <c r="M17" s="33" t="s">
        <v>149</v>
      </c>
      <c r="N17" s="33" t="s">
        <v>149</v>
      </c>
    </row>
    <row r="18" spans="1:14" x14ac:dyDescent="0.25">
      <c r="A18" s="113"/>
      <c r="B18" s="34">
        <v>2005</v>
      </c>
      <c r="C18" s="33" t="s">
        <v>149</v>
      </c>
      <c r="D18" s="33" t="s">
        <v>149</v>
      </c>
      <c r="E18" s="33" t="s">
        <v>149</v>
      </c>
      <c r="F18" s="33" t="s">
        <v>149</v>
      </c>
      <c r="G18" s="33" t="s">
        <v>149</v>
      </c>
      <c r="H18" s="33" t="s">
        <v>149</v>
      </c>
      <c r="I18" s="33" t="s">
        <v>149</v>
      </c>
      <c r="J18" s="33" t="s">
        <v>149</v>
      </c>
      <c r="K18" s="33" t="s">
        <v>149</v>
      </c>
      <c r="L18" s="33" t="s">
        <v>149</v>
      </c>
      <c r="M18" s="33" t="s">
        <v>149</v>
      </c>
      <c r="N18" s="33" t="s">
        <v>149</v>
      </c>
    </row>
    <row r="19" spans="1:14" x14ac:dyDescent="0.25">
      <c r="A19" s="113"/>
      <c r="B19" s="34">
        <v>2006</v>
      </c>
      <c r="C19" s="33" t="s">
        <v>149</v>
      </c>
      <c r="D19" s="33" t="s">
        <v>149</v>
      </c>
      <c r="E19" s="33" t="s">
        <v>149</v>
      </c>
      <c r="F19" s="33" t="s">
        <v>149</v>
      </c>
      <c r="G19" s="33" t="s">
        <v>149</v>
      </c>
      <c r="H19" s="33" t="s">
        <v>149</v>
      </c>
      <c r="I19" s="33" t="s">
        <v>149</v>
      </c>
      <c r="J19" s="33" t="s">
        <v>149</v>
      </c>
      <c r="K19" s="33" t="s">
        <v>149</v>
      </c>
      <c r="L19" s="33" t="s">
        <v>149</v>
      </c>
      <c r="M19" s="33" t="s">
        <v>149</v>
      </c>
      <c r="N19" s="33" t="s">
        <v>149</v>
      </c>
    </row>
    <row r="20" spans="1:14" x14ac:dyDescent="0.25">
      <c r="A20" s="113"/>
      <c r="B20" s="34">
        <v>2007</v>
      </c>
      <c r="C20" s="33" t="s">
        <v>149</v>
      </c>
      <c r="D20" s="33" t="s">
        <v>149</v>
      </c>
      <c r="E20" s="33" t="s">
        <v>149</v>
      </c>
      <c r="F20" s="33" t="s">
        <v>149</v>
      </c>
      <c r="G20" s="33" t="s">
        <v>149</v>
      </c>
      <c r="H20" s="33" t="s">
        <v>149</v>
      </c>
      <c r="I20" s="33" t="s">
        <v>149</v>
      </c>
      <c r="J20" s="33" t="s">
        <v>149</v>
      </c>
      <c r="K20" s="33" t="s">
        <v>149</v>
      </c>
      <c r="L20" s="33" t="s">
        <v>149</v>
      </c>
      <c r="M20" s="33" t="s">
        <v>149</v>
      </c>
      <c r="N20" s="33" t="s">
        <v>149</v>
      </c>
    </row>
    <row r="21" spans="1:14" x14ac:dyDescent="0.25">
      <c r="A21" s="113"/>
      <c r="B21" s="34">
        <v>2008</v>
      </c>
      <c r="C21" s="33" t="s">
        <v>149</v>
      </c>
      <c r="D21" s="33" t="s">
        <v>149</v>
      </c>
      <c r="E21" s="33" t="s">
        <v>149</v>
      </c>
      <c r="F21" s="33" t="s">
        <v>149</v>
      </c>
      <c r="G21" s="33" t="s">
        <v>149</v>
      </c>
      <c r="H21" s="33" t="s">
        <v>149</v>
      </c>
      <c r="I21" s="33" t="s">
        <v>149</v>
      </c>
      <c r="J21" s="33" t="s">
        <v>149</v>
      </c>
      <c r="K21" s="33" t="s">
        <v>149</v>
      </c>
      <c r="L21" s="33" t="s">
        <v>149</v>
      </c>
      <c r="M21" s="33" t="s">
        <v>149</v>
      </c>
      <c r="N21" s="33" t="s">
        <v>149</v>
      </c>
    </row>
    <row r="22" spans="1:14" x14ac:dyDescent="0.25">
      <c r="A22" s="113"/>
      <c r="B22" s="34">
        <v>2009</v>
      </c>
      <c r="C22" s="33" t="s">
        <v>149</v>
      </c>
      <c r="D22" s="33" t="s">
        <v>149</v>
      </c>
      <c r="E22" s="33" t="s">
        <v>149</v>
      </c>
      <c r="F22" s="33" t="s">
        <v>149</v>
      </c>
      <c r="G22" s="33" t="s">
        <v>149</v>
      </c>
      <c r="H22" s="33" t="s">
        <v>149</v>
      </c>
      <c r="I22" s="33" t="s">
        <v>149</v>
      </c>
      <c r="J22" s="33" t="s">
        <v>149</v>
      </c>
      <c r="K22" s="33" t="s">
        <v>149</v>
      </c>
      <c r="L22" s="33" t="s">
        <v>149</v>
      </c>
      <c r="M22" s="33" t="s">
        <v>149</v>
      </c>
      <c r="N22" s="33" t="s">
        <v>149</v>
      </c>
    </row>
    <row r="23" spans="1:14" x14ac:dyDescent="0.25">
      <c r="A23" s="113"/>
      <c r="B23" s="34">
        <v>2010</v>
      </c>
      <c r="C23" s="33">
        <v>109179.21400000001</v>
      </c>
      <c r="D23" s="33">
        <v>104915.345</v>
      </c>
      <c r="E23" s="33">
        <v>95014.774000000005</v>
      </c>
      <c r="F23" s="33">
        <v>88409.15</v>
      </c>
      <c r="G23" s="33">
        <v>110783.36599999999</v>
      </c>
      <c r="H23" s="33">
        <v>126201.946</v>
      </c>
      <c r="I23" s="33">
        <v>136465.117</v>
      </c>
      <c r="J23" s="33">
        <v>131946.462</v>
      </c>
      <c r="K23" s="33">
        <v>127681.899</v>
      </c>
      <c r="L23" s="33">
        <v>85652.149000000005</v>
      </c>
      <c r="M23" s="33">
        <v>90313.391000000003</v>
      </c>
      <c r="N23" s="33">
        <v>115535</v>
      </c>
    </row>
    <row r="24" spans="1:14" x14ac:dyDescent="0.25">
      <c r="A24" s="113"/>
      <c r="B24" s="34">
        <v>2011</v>
      </c>
      <c r="C24" s="33">
        <v>113912</v>
      </c>
      <c r="D24" s="33">
        <v>109621</v>
      </c>
      <c r="E24" s="33">
        <v>99956</v>
      </c>
      <c r="F24" s="33">
        <v>92104</v>
      </c>
      <c r="G24" s="33">
        <v>103609</v>
      </c>
      <c r="H24" s="33">
        <v>139967</v>
      </c>
      <c r="I24" s="33">
        <v>148941</v>
      </c>
      <c r="J24" s="33">
        <v>143584</v>
      </c>
      <c r="K24" s="33">
        <v>126463</v>
      </c>
      <c r="L24" s="33">
        <v>101712</v>
      </c>
      <c r="M24" s="33">
        <v>108310</v>
      </c>
      <c r="N24" s="33">
        <v>122418</v>
      </c>
    </row>
    <row r="25" spans="1:14" x14ac:dyDescent="0.25">
      <c r="A25" s="113"/>
      <c r="B25" s="34">
        <v>2012</v>
      </c>
      <c r="C25" s="33">
        <v>122565.442</v>
      </c>
      <c r="D25" s="33">
        <v>113997.637</v>
      </c>
      <c r="E25" s="33">
        <v>107528.11</v>
      </c>
      <c r="F25" s="33">
        <v>97821.804000000004</v>
      </c>
      <c r="G25" s="33">
        <v>130557.66499999999</v>
      </c>
      <c r="H25" s="33">
        <v>147915.071</v>
      </c>
      <c r="I25" s="33">
        <v>154338.726</v>
      </c>
      <c r="J25" s="33">
        <v>144486.45600000001</v>
      </c>
      <c r="K25" s="33">
        <v>129958.527</v>
      </c>
      <c r="L25" s="33">
        <v>98761.608999999997</v>
      </c>
      <c r="M25" s="33">
        <v>107454.811</v>
      </c>
      <c r="N25" s="33">
        <v>109947.899</v>
      </c>
    </row>
    <row r="26" spans="1:14" x14ac:dyDescent="0.25">
      <c r="A26" s="113"/>
      <c r="B26" s="34">
        <v>2013</v>
      </c>
      <c r="C26" s="33">
        <v>126725</v>
      </c>
      <c r="D26" s="33">
        <v>118740</v>
      </c>
      <c r="E26" s="33">
        <v>109671</v>
      </c>
      <c r="F26" s="33">
        <v>101046</v>
      </c>
      <c r="G26" s="33">
        <v>129053</v>
      </c>
      <c r="H26" s="33">
        <v>139781</v>
      </c>
      <c r="I26" s="33">
        <v>157509</v>
      </c>
      <c r="J26" s="33">
        <v>137625</v>
      </c>
      <c r="K26" s="33">
        <v>143461</v>
      </c>
      <c r="L26" s="33">
        <v>108826</v>
      </c>
      <c r="M26" s="33">
        <v>114699</v>
      </c>
      <c r="N26" s="33">
        <v>124072</v>
      </c>
    </row>
    <row r="27" spans="1:14" x14ac:dyDescent="0.25">
      <c r="A27" s="113"/>
      <c r="B27" s="34">
        <v>2014</v>
      </c>
      <c r="C27" s="36">
        <v>140510.23300000001</v>
      </c>
      <c r="D27" s="36">
        <v>129690.523</v>
      </c>
      <c r="E27" s="36">
        <v>126638.86</v>
      </c>
      <c r="F27" s="36">
        <v>99179.551999999996</v>
      </c>
      <c r="G27" s="36">
        <v>119741.906</v>
      </c>
      <c r="H27" s="36">
        <v>141677.93299999999</v>
      </c>
      <c r="I27" s="36">
        <v>139379.87</v>
      </c>
      <c r="J27" s="36">
        <v>133390.98000000001</v>
      </c>
      <c r="K27" s="36">
        <v>138157.144</v>
      </c>
      <c r="L27" s="36">
        <v>95919.771999999997</v>
      </c>
      <c r="M27" s="36">
        <v>120847.897</v>
      </c>
      <c r="N27" s="36">
        <v>114047.334</v>
      </c>
    </row>
    <row r="28" spans="1:14" x14ac:dyDescent="0.25">
      <c r="A28" s="113"/>
      <c r="B28" s="34">
        <v>2015</v>
      </c>
      <c r="C28" s="39">
        <v>136197</v>
      </c>
      <c r="D28" s="39">
        <v>143129</v>
      </c>
      <c r="E28" s="39">
        <v>125701</v>
      </c>
      <c r="F28" s="39">
        <v>96382</v>
      </c>
      <c r="G28" s="39">
        <v>120840</v>
      </c>
      <c r="H28" s="39">
        <v>137287</v>
      </c>
      <c r="I28" s="39">
        <v>143633</v>
      </c>
      <c r="J28" s="39">
        <v>139649</v>
      </c>
      <c r="K28" s="39">
        <v>141209</v>
      </c>
      <c r="L28" s="39">
        <v>94824</v>
      </c>
      <c r="M28" s="39">
        <v>104505</v>
      </c>
      <c r="N28" s="39">
        <v>104494</v>
      </c>
    </row>
    <row r="29" spans="1:14" x14ac:dyDescent="0.25">
      <c r="A29" s="113"/>
      <c r="B29" s="34">
        <v>2016</v>
      </c>
      <c r="C29" s="38">
        <v>129775</v>
      </c>
      <c r="D29" s="38">
        <v>121307</v>
      </c>
      <c r="E29" s="38">
        <v>106497</v>
      </c>
      <c r="F29" s="38">
        <v>99868</v>
      </c>
      <c r="G29" s="38">
        <v>121539</v>
      </c>
      <c r="H29" s="38">
        <v>134752</v>
      </c>
      <c r="I29" s="38">
        <v>150826</v>
      </c>
      <c r="J29" s="38">
        <v>152177</v>
      </c>
      <c r="K29" s="38">
        <v>142092</v>
      </c>
      <c r="L29" s="38">
        <v>102277</v>
      </c>
      <c r="M29" s="38">
        <v>105171</v>
      </c>
      <c r="N29" s="38">
        <v>131021</v>
      </c>
    </row>
    <row r="30" spans="1:14" x14ac:dyDescent="0.25">
      <c r="A30" s="32" t="s">
        <v>142</v>
      </c>
      <c r="B30" s="34" t="s">
        <v>143</v>
      </c>
      <c r="C30" s="38">
        <v>131391</v>
      </c>
      <c r="D30" s="38">
        <v>125630</v>
      </c>
      <c r="E30" s="38">
        <v>115099</v>
      </c>
      <c r="F30" s="38">
        <v>105560</v>
      </c>
      <c r="G30" s="38">
        <v>120074</v>
      </c>
      <c r="H30" s="38">
        <v>144469</v>
      </c>
      <c r="I30" s="38">
        <v>152999</v>
      </c>
      <c r="J30" s="38">
        <v>148808</v>
      </c>
      <c r="K30" s="38">
        <v>129257</v>
      </c>
      <c r="L30" s="38">
        <v>107258</v>
      </c>
      <c r="M30" s="38">
        <v>111523</v>
      </c>
      <c r="N30" s="38">
        <v>125798</v>
      </c>
    </row>
    <row r="31" spans="1:14" x14ac:dyDescent="0.25">
      <c r="B31" s="34" t="s">
        <v>144</v>
      </c>
      <c r="C31" s="39">
        <v>132652</v>
      </c>
      <c r="D31" s="39">
        <v>126874</v>
      </c>
      <c r="E31" s="39">
        <v>115332</v>
      </c>
      <c r="F31" s="39">
        <v>110453</v>
      </c>
      <c r="G31" s="39">
        <v>121060</v>
      </c>
      <c r="H31" s="39">
        <v>145187</v>
      </c>
      <c r="I31" s="39">
        <v>153951</v>
      </c>
      <c r="J31" s="39">
        <v>149526</v>
      </c>
      <c r="K31" s="39">
        <v>129112</v>
      </c>
      <c r="L31" s="39">
        <v>110657</v>
      </c>
      <c r="M31" s="39">
        <v>112483</v>
      </c>
      <c r="N31" s="39">
        <v>127154</v>
      </c>
    </row>
  </sheetData>
  <mergeCells count="1">
    <mergeCell ref="A9:A29"/>
  </mergeCells>
  <pageMargins left="0.5" right="0.5" top="0.75" bottom="0.75" header="0.3" footer="0.3"/>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31"/>
  <sheetViews>
    <sheetView showGridLines="0" workbookViewId="0"/>
  </sheetViews>
  <sheetFormatPr defaultColWidth="8.28515625" defaultRowHeight="15" x14ac:dyDescent="0.25"/>
  <sheetData>
    <row r="1" spans="1:14" x14ac:dyDescent="0.25">
      <c r="A1" s="25" t="s">
        <v>123</v>
      </c>
      <c r="B1" s="26"/>
      <c r="C1" s="26"/>
      <c r="D1" s="27"/>
      <c r="E1" s="27"/>
      <c r="F1" s="27"/>
      <c r="G1" s="27"/>
      <c r="H1" s="27"/>
      <c r="I1" s="27"/>
      <c r="J1" s="27"/>
      <c r="K1" s="27"/>
      <c r="L1" s="27"/>
      <c r="M1" s="27"/>
      <c r="N1" s="27"/>
    </row>
    <row r="2" spans="1:14" x14ac:dyDescent="0.25">
      <c r="A2" s="25" t="s">
        <v>124</v>
      </c>
      <c r="B2" s="26"/>
      <c r="C2" s="26"/>
      <c r="D2" s="27"/>
      <c r="E2" s="27"/>
      <c r="F2" s="27"/>
      <c r="G2" s="27"/>
      <c r="H2" s="27"/>
      <c r="I2" s="27"/>
      <c r="J2" s="27"/>
      <c r="K2" s="27"/>
      <c r="L2" s="27"/>
      <c r="M2" s="27"/>
      <c r="N2" s="27"/>
    </row>
    <row r="3" spans="1:14" x14ac:dyDescent="0.25">
      <c r="A3" s="25"/>
      <c r="B3" s="26"/>
      <c r="C3" s="26"/>
      <c r="D3" s="27"/>
      <c r="E3" s="27"/>
      <c r="F3" s="27"/>
      <c r="G3" s="27"/>
      <c r="H3" s="27"/>
      <c r="I3" s="27"/>
      <c r="J3" s="27"/>
      <c r="K3" s="27"/>
      <c r="L3" s="27"/>
      <c r="M3" s="27"/>
      <c r="N3" s="27"/>
    </row>
    <row r="4" spans="1:14" ht="15.75" customHeight="1" x14ac:dyDescent="0.25">
      <c r="A4" s="28" t="s">
        <v>153</v>
      </c>
      <c r="B4" s="27"/>
      <c r="C4" s="27"/>
      <c r="D4" s="29"/>
      <c r="E4" s="27"/>
      <c r="F4" s="27"/>
      <c r="G4" s="27"/>
      <c r="H4" s="27"/>
      <c r="I4" s="27"/>
      <c r="J4" s="27"/>
      <c r="K4" s="27"/>
      <c r="L4" s="27"/>
      <c r="M4" s="27"/>
      <c r="N4" s="27"/>
    </row>
    <row r="5" spans="1:14" ht="15.75" customHeight="1" x14ac:dyDescent="0.25">
      <c r="A5" s="28" t="s">
        <v>126</v>
      </c>
      <c r="B5" s="27"/>
      <c r="C5" s="27"/>
      <c r="D5" s="29"/>
      <c r="E5" s="27"/>
      <c r="F5" s="27"/>
      <c r="G5" s="27"/>
      <c r="H5" s="27"/>
      <c r="I5" s="27"/>
      <c r="J5" s="27"/>
      <c r="K5" s="27"/>
      <c r="L5" s="27"/>
      <c r="M5" s="27"/>
      <c r="N5" s="27"/>
    </row>
    <row r="6" spans="1:14" x14ac:dyDescent="0.25">
      <c r="A6" s="26" t="s">
        <v>127</v>
      </c>
      <c r="B6" s="27"/>
      <c r="C6" s="27"/>
      <c r="D6" s="27"/>
      <c r="E6" s="27"/>
      <c r="F6" s="27"/>
      <c r="G6" s="27"/>
      <c r="H6" s="27"/>
      <c r="I6" s="27"/>
      <c r="J6" s="27"/>
      <c r="K6" s="27"/>
      <c r="L6" s="27"/>
      <c r="M6" s="27"/>
      <c r="N6" s="27"/>
    </row>
    <row r="7" spans="1:14" x14ac:dyDescent="0.25">
      <c r="A7" s="14"/>
      <c r="B7" s="14"/>
      <c r="C7" s="14"/>
      <c r="D7" s="14"/>
      <c r="E7" s="14"/>
      <c r="F7" s="14"/>
      <c r="G7" s="14"/>
      <c r="H7" s="14"/>
      <c r="I7" s="14"/>
      <c r="J7" s="14"/>
      <c r="K7" s="14"/>
      <c r="L7" s="14"/>
      <c r="M7" s="14"/>
      <c r="N7" s="14"/>
    </row>
    <row r="8" spans="1:14" ht="18" customHeight="1" thickBot="1" x14ac:dyDescent="0.3">
      <c r="A8" s="18" t="s">
        <v>154</v>
      </c>
      <c r="B8" s="19" t="s">
        <v>89</v>
      </c>
      <c r="C8" s="19" t="s">
        <v>129</v>
      </c>
      <c r="D8" s="19" t="s">
        <v>130</v>
      </c>
      <c r="E8" s="19" t="s">
        <v>131</v>
      </c>
      <c r="F8" s="19" t="s">
        <v>132</v>
      </c>
      <c r="G8" s="19" t="s">
        <v>133</v>
      </c>
      <c r="H8" s="19" t="s">
        <v>134</v>
      </c>
      <c r="I8" s="19" t="s">
        <v>135</v>
      </c>
      <c r="J8" s="19" t="s">
        <v>136</v>
      </c>
      <c r="K8" s="19" t="s">
        <v>137</v>
      </c>
      <c r="L8" s="19" t="s">
        <v>138</v>
      </c>
      <c r="M8" s="19" t="s">
        <v>139</v>
      </c>
      <c r="N8" s="19" t="s">
        <v>140</v>
      </c>
    </row>
    <row r="9" spans="1:14" ht="15.75" customHeight="1" thickTop="1" x14ac:dyDescent="0.25">
      <c r="A9" s="127" t="s">
        <v>141</v>
      </c>
      <c r="B9" s="30">
        <v>1996</v>
      </c>
      <c r="C9" s="31">
        <v>41680</v>
      </c>
      <c r="D9" s="31">
        <v>41977</v>
      </c>
      <c r="E9" s="31">
        <v>39414</v>
      </c>
      <c r="F9" s="31">
        <v>35313</v>
      </c>
      <c r="G9" s="31">
        <v>41013</v>
      </c>
      <c r="H9" s="31">
        <v>41893</v>
      </c>
      <c r="I9" s="31">
        <v>44773</v>
      </c>
      <c r="J9" s="31">
        <v>44663</v>
      </c>
      <c r="K9" s="31">
        <v>43321</v>
      </c>
      <c r="L9" s="31">
        <v>36278</v>
      </c>
      <c r="M9" s="31">
        <v>38992</v>
      </c>
      <c r="N9" s="31">
        <v>39710</v>
      </c>
    </row>
    <row r="10" spans="1:14" x14ac:dyDescent="0.25">
      <c r="A10" s="113"/>
      <c r="B10" s="32">
        <v>1997</v>
      </c>
      <c r="C10" s="33">
        <v>41208</v>
      </c>
      <c r="D10" s="33">
        <v>38891</v>
      </c>
      <c r="E10" s="33">
        <v>37662</v>
      </c>
      <c r="F10" s="33">
        <v>35284</v>
      </c>
      <c r="G10" s="33">
        <v>34101</v>
      </c>
      <c r="H10" s="33">
        <v>46477</v>
      </c>
      <c r="I10" s="33">
        <v>49269</v>
      </c>
      <c r="J10" s="33">
        <v>43964</v>
      </c>
      <c r="K10" s="33">
        <v>42487</v>
      </c>
      <c r="L10" s="33">
        <v>37597</v>
      </c>
      <c r="M10" s="33">
        <v>39602</v>
      </c>
      <c r="N10" s="33">
        <v>41178</v>
      </c>
    </row>
    <row r="11" spans="1:14" x14ac:dyDescent="0.25">
      <c r="A11" s="113"/>
      <c r="B11" s="32">
        <v>1998</v>
      </c>
      <c r="C11" s="33">
        <v>40009</v>
      </c>
      <c r="D11" s="33">
        <v>39624</v>
      </c>
      <c r="E11" s="33">
        <v>39652</v>
      </c>
      <c r="F11" s="33">
        <v>35382</v>
      </c>
      <c r="G11" s="33">
        <v>40210</v>
      </c>
      <c r="H11" s="33">
        <v>47342</v>
      </c>
      <c r="I11" s="33">
        <v>49566</v>
      </c>
      <c r="J11" s="33">
        <v>47514</v>
      </c>
      <c r="K11" s="33">
        <v>42358</v>
      </c>
      <c r="L11" s="33">
        <v>36947</v>
      </c>
      <c r="M11" s="33">
        <v>38738</v>
      </c>
      <c r="N11" s="33">
        <v>41728</v>
      </c>
    </row>
    <row r="12" spans="1:14" x14ac:dyDescent="0.25">
      <c r="A12" s="113"/>
      <c r="B12" s="32">
        <v>1999</v>
      </c>
      <c r="C12" s="33">
        <v>44199</v>
      </c>
      <c r="D12" s="33">
        <v>41263</v>
      </c>
      <c r="E12" s="33">
        <v>39883</v>
      </c>
      <c r="F12" s="33">
        <v>34260</v>
      </c>
      <c r="G12" s="33">
        <v>35911</v>
      </c>
      <c r="H12" s="33">
        <v>50127</v>
      </c>
      <c r="I12" s="33">
        <v>52855</v>
      </c>
      <c r="J12" s="33">
        <v>47762</v>
      </c>
      <c r="K12" s="33">
        <v>45913</v>
      </c>
      <c r="L12" s="33">
        <v>37120</v>
      </c>
      <c r="M12" s="33">
        <v>41314</v>
      </c>
      <c r="N12" s="33">
        <v>42166</v>
      </c>
    </row>
    <row r="13" spans="1:14" x14ac:dyDescent="0.25">
      <c r="A13" s="113"/>
      <c r="B13" s="32">
        <v>2000</v>
      </c>
      <c r="C13" s="33">
        <v>45227</v>
      </c>
      <c r="D13" s="33">
        <v>42692</v>
      </c>
      <c r="E13" s="33">
        <v>38729</v>
      </c>
      <c r="F13" s="33">
        <v>36124</v>
      </c>
      <c r="G13" s="33">
        <v>44550</v>
      </c>
      <c r="H13" s="33">
        <v>50057</v>
      </c>
      <c r="I13" s="33">
        <v>46310</v>
      </c>
      <c r="J13" s="33">
        <v>49850</v>
      </c>
      <c r="K13" s="33">
        <v>48266</v>
      </c>
      <c r="L13" s="33">
        <v>39300</v>
      </c>
      <c r="M13" s="33">
        <v>41036</v>
      </c>
      <c r="N13" s="33">
        <v>43852</v>
      </c>
    </row>
    <row r="14" spans="1:14" x14ac:dyDescent="0.25">
      <c r="A14" s="113"/>
      <c r="B14" s="32">
        <v>2001</v>
      </c>
      <c r="C14" s="33">
        <v>43553</v>
      </c>
      <c r="D14" s="33">
        <v>41919</v>
      </c>
      <c r="E14" s="33">
        <v>40636</v>
      </c>
      <c r="F14" s="33">
        <v>37191</v>
      </c>
      <c r="G14" s="33">
        <v>42368</v>
      </c>
      <c r="H14" s="33">
        <v>50289</v>
      </c>
      <c r="I14" s="33">
        <v>53569</v>
      </c>
      <c r="J14" s="33">
        <v>55949</v>
      </c>
      <c r="K14" s="33">
        <v>45703</v>
      </c>
      <c r="L14" s="33">
        <v>38398</v>
      </c>
      <c r="M14" s="33">
        <v>39576</v>
      </c>
      <c r="N14" s="33">
        <v>42540</v>
      </c>
    </row>
    <row r="15" spans="1:14" x14ac:dyDescent="0.25">
      <c r="A15" s="113"/>
      <c r="B15" s="32">
        <v>2002</v>
      </c>
      <c r="C15" s="33">
        <v>42039</v>
      </c>
      <c r="D15" s="33">
        <v>41544</v>
      </c>
      <c r="E15" s="33">
        <v>39906</v>
      </c>
      <c r="F15" s="33">
        <v>42163</v>
      </c>
      <c r="G15" s="33">
        <v>41008</v>
      </c>
      <c r="H15" s="33">
        <v>51873</v>
      </c>
      <c r="I15" s="33">
        <v>55444</v>
      </c>
      <c r="J15" s="33">
        <v>55944</v>
      </c>
      <c r="K15" s="33">
        <v>49324</v>
      </c>
      <c r="L15" s="33">
        <v>43293</v>
      </c>
      <c r="M15" s="33">
        <v>40696</v>
      </c>
      <c r="N15" s="33">
        <v>44793</v>
      </c>
    </row>
    <row r="16" spans="1:14" x14ac:dyDescent="0.25">
      <c r="A16" s="113"/>
      <c r="B16" s="32">
        <v>2003</v>
      </c>
      <c r="C16" s="33">
        <v>45987</v>
      </c>
      <c r="D16" s="33">
        <v>43800</v>
      </c>
      <c r="E16" s="33">
        <v>43249</v>
      </c>
      <c r="F16" s="33">
        <v>38921</v>
      </c>
      <c r="G16" s="33">
        <v>36648</v>
      </c>
      <c r="H16" s="33">
        <v>54827</v>
      </c>
      <c r="I16" s="33">
        <v>53509</v>
      </c>
      <c r="J16" s="33">
        <v>53540</v>
      </c>
      <c r="K16" s="33">
        <v>43123</v>
      </c>
      <c r="L16" s="33">
        <v>39225</v>
      </c>
      <c r="M16" s="33">
        <v>40197</v>
      </c>
      <c r="N16" s="33">
        <v>44257</v>
      </c>
    </row>
    <row r="17" spans="1:14" x14ac:dyDescent="0.25">
      <c r="A17" s="113"/>
      <c r="B17" s="32">
        <v>2004</v>
      </c>
      <c r="C17" s="33">
        <v>66215</v>
      </c>
      <c r="D17" s="33">
        <v>62361</v>
      </c>
      <c r="E17" s="33">
        <v>58055</v>
      </c>
      <c r="F17" s="33">
        <v>54300</v>
      </c>
      <c r="G17" s="33">
        <v>64042</v>
      </c>
      <c r="H17" s="33">
        <v>76529</v>
      </c>
      <c r="I17" s="33">
        <v>82615</v>
      </c>
      <c r="J17" s="33">
        <v>79138</v>
      </c>
      <c r="K17" s="33">
        <v>73418</v>
      </c>
      <c r="L17" s="33">
        <v>56870</v>
      </c>
      <c r="M17" s="33">
        <v>60680</v>
      </c>
      <c r="N17" s="33">
        <v>67224</v>
      </c>
    </row>
    <row r="18" spans="1:14" x14ac:dyDescent="0.25">
      <c r="A18" s="113"/>
      <c r="B18" s="32">
        <v>2005</v>
      </c>
      <c r="C18" s="33">
        <v>47041</v>
      </c>
      <c r="D18" s="33">
        <v>42949</v>
      </c>
      <c r="E18" s="33">
        <v>43487</v>
      </c>
      <c r="F18" s="33">
        <v>37399</v>
      </c>
      <c r="G18" s="33">
        <v>37543</v>
      </c>
      <c r="H18" s="33">
        <v>55720</v>
      </c>
      <c r="I18" s="33">
        <v>58960</v>
      </c>
      <c r="J18" s="33">
        <v>58009</v>
      </c>
      <c r="K18" s="33">
        <v>50704</v>
      </c>
      <c r="L18" s="33">
        <v>41854</v>
      </c>
      <c r="M18" s="33">
        <v>41875</v>
      </c>
      <c r="N18" s="33">
        <v>46828</v>
      </c>
    </row>
    <row r="19" spans="1:14" x14ac:dyDescent="0.25">
      <c r="A19" s="113"/>
      <c r="B19" s="32">
        <v>2006</v>
      </c>
      <c r="C19" s="33">
        <v>43661</v>
      </c>
      <c r="D19" s="33">
        <v>43611</v>
      </c>
      <c r="E19" s="33">
        <v>42532</v>
      </c>
      <c r="F19" s="33">
        <v>37331</v>
      </c>
      <c r="G19" s="33">
        <v>46113</v>
      </c>
      <c r="H19" s="33">
        <v>52000</v>
      </c>
      <c r="I19" s="33">
        <v>59953</v>
      </c>
      <c r="J19" s="33">
        <v>63241</v>
      </c>
      <c r="K19" s="33">
        <v>43207</v>
      </c>
      <c r="L19" s="33">
        <v>40157</v>
      </c>
      <c r="M19" s="33">
        <v>41149</v>
      </c>
      <c r="N19" s="33">
        <v>44570</v>
      </c>
    </row>
    <row r="20" spans="1:14" x14ac:dyDescent="0.25">
      <c r="A20" s="113"/>
      <c r="B20" s="32">
        <v>2007</v>
      </c>
      <c r="C20" s="33">
        <v>45002</v>
      </c>
      <c r="D20" s="33">
        <v>46697</v>
      </c>
      <c r="E20" s="33">
        <v>45901</v>
      </c>
      <c r="F20" s="33">
        <v>38936</v>
      </c>
      <c r="G20" s="33">
        <v>46586</v>
      </c>
      <c r="H20" s="33">
        <v>57272</v>
      </c>
      <c r="I20" s="33">
        <v>56073</v>
      </c>
      <c r="J20" s="33">
        <v>58314</v>
      </c>
      <c r="K20" s="33">
        <v>51463</v>
      </c>
      <c r="L20" s="33">
        <v>45066</v>
      </c>
      <c r="M20" s="33">
        <v>41766</v>
      </c>
      <c r="N20" s="33">
        <v>46024</v>
      </c>
    </row>
    <row r="21" spans="1:14" x14ac:dyDescent="0.25">
      <c r="A21" s="113"/>
      <c r="B21" s="32">
        <v>2008</v>
      </c>
      <c r="C21" s="33">
        <v>46803</v>
      </c>
      <c r="D21" s="33">
        <v>44882</v>
      </c>
      <c r="E21" s="33">
        <v>40421</v>
      </c>
      <c r="F21" s="33">
        <v>37426</v>
      </c>
      <c r="G21" s="33">
        <v>40348</v>
      </c>
      <c r="H21" s="33">
        <v>58543</v>
      </c>
      <c r="I21" s="33">
        <v>55919</v>
      </c>
      <c r="J21" s="33">
        <v>50393</v>
      </c>
      <c r="K21" s="33">
        <v>50957</v>
      </c>
      <c r="L21" s="33">
        <v>39251</v>
      </c>
      <c r="M21" s="33">
        <v>42111</v>
      </c>
      <c r="N21" s="33">
        <v>45695</v>
      </c>
    </row>
    <row r="22" spans="1:14" x14ac:dyDescent="0.25">
      <c r="A22" s="113"/>
      <c r="B22" s="32">
        <v>2009</v>
      </c>
      <c r="C22" s="33">
        <v>45046.5</v>
      </c>
      <c r="D22" s="33">
        <v>44457.1</v>
      </c>
      <c r="E22" s="33">
        <v>43148.3</v>
      </c>
      <c r="F22" s="33">
        <v>40609.1</v>
      </c>
      <c r="G22" s="33">
        <v>39260.400000000001</v>
      </c>
      <c r="H22" s="33">
        <v>42851.4</v>
      </c>
      <c r="I22" s="33">
        <v>50319.4</v>
      </c>
      <c r="J22" s="33">
        <v>55943.8</v>
      </c>
      <c r="K22" s="33">
        <v>41778.1</v>
      </c>
      <c r="L22" s="33">
        <v>37997.5</v>
      </c>
      <c r="M22" s="33">
        <v>39746.199999999997</v>
      </c>
      <c r="N22" s="33">
        <v>44864.4</v>
      </c>
    </row>
    <row r="23" spans="1:14" x14ac:dyDescent="0.25">
      <c r="A23" s="113"/>
      <c r="B23" s="32">
        <v>2010</v>
      </c>
      <c r="C23" s="33">
        <v>43849</v>
      </c>
      <c r="D23" s="33">
        <v>42178</v>
      </c>
      <c r="E23" s="33">
        <v>39658</v>
      </c>
      <c r="F23" s="33">
        <v>36715</v>
      </c>
      <c r="G23" s="33">
        <v>50251</v>
      </c>
      <c r="H23" s="33">
        <v>54472</v>
      </c>
      <c r="I23" s="33">
        <v>60554</v>
      </c>
      <c r="J23" s="33">
        <v>56947</v>
      </c>
      <c r="K23" s="33">
        <v>57377</v>
      </c>
      <c r="L23" s="33">
        <v>39019</v>
      </c>
      <c r="M23" s="33">
        <v>39906</v>
      </c>
      <c r="N23" s="33">
        <v>45281</v>
      </c>
    </row>
    <row r="24" spans="1:14" x14ac:dyDescent="0.25">
      <c r="A24" s="113"/>
      <c r="B24" s="32">
        <v>2011</v>
      </c>
      <c r="C24" s="33">
        <v>44812</v>
      </c>
      <c r="D24" s="33">
        <v>44527</v>
      </c>
      <c r="E24" s="33">
        <v>42594</v>
      </c>
      <c r="F24" s="33">
        <v>38797</v>
      </c>
      <c r="G24" s="33">
        <v>43988</v>
      </c>
      <c r="H24" s="33">
        <v>53980</v>
      </c>
      <c r="I24" s="33">
        <v>60262</v>
      </c>
      <c r="J24" s="33">
        <v>58820</v>
      </c>
      <c r="K24" s="33">
        <v>49743</v>
      </c>
      <c r="L24" s="33">
        <v>39643</v>
      </c>
      <c r="M24" s="33">
        <v>41389</v>
      </c>
      <c r="N24" s="33">
        <v>46788</v>
      </c>
    </row>
    <row r="25" spans="1:14" x14ac:dyDescent="0.25">
      <c r="A25" s="113"/>
      <c r="B25" s="34">
        <v>2012</v>
      </c>
      <c r="C25" s="33">
        <v>43827</v>
      </c>
      <c r="D25" s="33">
        <v>40465</v>
      </c>
      <c r="E25" s="33">
        <v>40179</v>
      </c>
      <c r="F25" s="33">
        <v>37540</v>
      </c>
      <c r="G25" s="33">
        <v>48111</v>
      </c>
      <c r="H25" s="33">
        <v>57806</v>
      </c>
      <c r="I25" s="33">
        <v>58319</v>
      </c>
      <c r="J25" s="33">
        <v>55740</v>
      </c>
      <c r="K25" s="33">
        <v>49566</v>
      </c>
      <c r="L25" s="33">
        <v>38160</v>
      </c>
      <c r="M25" s="33">
        <v>41074</v>
      </c>
      <c r="N25" s="33">
        <v>42156</v>
      </c>
    </row>
    <row r="26" spans="1:14" x14ac:dyDescent="0.25">
      <c r="A26" s="113"/>
      <c r="B26" s="34">
        <v>2013</v>
      </c>
      <c r="C26" s="35">
        <v>45545.2</v>
      </c>
      <c r="D26" s="35">
        <v>42847.7</v>
      </c>
      <c r="E26" s="35">
        <v>40778.699999999997</v>
      </c>
      <c r="F26" s="35">
        <v>36990.5</v>
      </c>
      <c r="G26" s="35">
        <v>50413.9</v>
      </c>
      <c r="H26" s="35">
        <v>55154.9</v>
      </c>
      <c r="I26" s="35">
        <v>61334.8</v>
      </c>
      <c r="J26" s="35">
        <v>50286.7</v>
      </c>
      <c r="K26" s="35">
        <v>55652.6</v>
      </c>
      <c r="L26" s="35">
        <v>39522.400000000001</v>
      </c>
      <c r="M26" s="35">
        <v>41695.599999999999</v>
      </c>
      <c r="N26" s="35">
        <v>45908.1</v>
      </c>
    </row>
    <row r="27" spans="1:14" x14ac:dyDescent="0.25">
      <c r="A27" s="113"/>
      <c r="B27" s="34">
        <v>2014</v>
      </c>
      <c r="C27" s="36">
        <v>47072</v>
      </c>
      <c r="D27" s="36">
        <v>43140</v>
      </c>
      <c r="E27" s="36">
        <v>43136</v>
      </c>
      <c r="F27" s="36">
        <v>35811</v>
      </c>
      <c r="G27" s="36">
        <v>39420</v>
      </c>
      <c r="H27" s="36">
        <v>48446</v>
      </c>
      <c r="I27" s="36">
        <v>53774</v>
      </c>
      <c r="J27" s="36">
        <v>49946</v>
      </c>
      <c r="K27" s="36">
        <v>53497</v>
      </c>
      <c r="L27" s="36">
        <v>38178</v>
      </c>
      <c r="M27" s="36">
        <v>40814</v>
      </c>
      <c r="N27" s="36">
        <v>42907</v>
      </c>
    </row>
    <row r="28" spans="1:14" x14ac:dyDescent="0.25">
      <c r="A28" s="113"/>
      <c r="B28" s="34">
        <v>2015</v>
      </c>
      <c r="C28" s="37">
        <v>45231</v>
      </c>
      <c r="D28" s="37">
        <v>44252</v>
      </c>
      <c r="E28" s="37">
        <v>41970</v>
      </c>
      <c r="F28" s="37">
        <v>35976</v>
      </c>
      <c r="G28" s="37">
        <v>43829</v>
      </c>
      <c r="H28" s="37">
        <v>49023</v>
      </c>
      <c r="I28" s="37">
        <v>55575</v>
      </c>
      <c r="J28" s="37">
        <v>54759</v>
      </c>
      <c r="K28" s="37">
        <v>55426</v>
      </c>
      <c r="L28" s="37">
        <v>36335</v>
      </c>
      <c r="M28" s="37">
        <v>38729</v>
      </c>
      <c r="N28" s="37">
        <v>39411</v>
      </c>
    </row>
    <row r="29" spans="1:14" x14ac:dyDescent="0.25">
      <c r="A29" s="113"/>
      <c r="B29" s="34">
        <v>2016</v>
      </c>
      <c r="C29" s="38">
        <v>42768.4</v>
      </c>
      <c r="D29" s="38">
        <v>42862.3</v>
      </c>
      <c r="E29" s="38">
        <v>38575.199999999997</v>
      </c>
      <c r="F29" s="38">
        <v>37136.1</v>
      </c>
      <c r="G29" s="38">
        <v>44089.599999999999</v>
      </c>
      <c r="H29" s="38">
        <v>46251.5</v>
      </c>
      <c r="I29" s="38">
        <v>55603.3</v>
      </c>
      <c r="J29" s="38">
        <v>57671.5</v>
      </c>
      <c r="K29" s="38">
        <v>52778.8</v>
      </c>
      <c r="L29" s="38">
        <v>37440.6</v>
      </c>
      <c r="M29" s="38">
        <v>39129.5</v>
      </c>
      <c r="N29" s="38">
        <v>43745</v>
      </c>
    </row>
    <row r="30" spans="1:14" x14ac:dyDescent="0.25">
      <c r="A30" s="32" t="s">
        <v>142</v>
      </c>
      <c r="B30" s="34" t="s">
        <v>143</v>
      </c>
      <c r="C30" s="38">
        <v>45756</v>
      </c>
      <c r="D30" s="38">
        <v>43291</v>
      </c>
      <c r="E30" s="38">
        <v>41875</v>
      </c>
      <c r="F30" s="38">
        <v>36109</v>
      </c>
      <c r="G30" s="38">
        <v>43524</v>
      </c>
      <c r="H30" s="38">
        <v>53031</v>
      </c>
      <c r="I30" s="38">
        <v>59660</v>
      </c>
      <c r="J30" s="38">
        <v>58200</v>
      </c>
      <c r="K30" s="38">
        <v>49570</v>
      </c>
      <c r="L30" s="38">
        <v>38777</v>
      </c>
      <c r="M30" s="38">
        <v>39883</v>
      </c>
      <c r="N30" s="38">
        <v>45002</v>
      </c>
    </row>
    <row r="31" spans="1:14" x14ac:dyDescent="0.25">
      <c r="B31" s="34" t="s">
        <v>144</v>
      </c>
      <c r="C31" s="39">
        <v>45562</v>
      </c>
      <c r="D31" s="39">
        <v>43238</v>
      </c>
      <c r="E31" s="39">
        <v>41804</v>
      </c>
      <c r="F31" s="39">
        <v>35961</v>
      </c>
      <c r="G31" s="39">
        <v>43285</v>
      </c>
      <c r="H31" s="39">
        <v>52870</v>
      </c>
      <c r="I31" s="39">
        <v>59536</v>
      </c>
      <c r="J31" s="39">
        <v>58081</v>
      </c>
      <c r="K31" s="39">
        <v>49394</v>
      </c>
      <c r="L31" s="39">
        <v>38577</v>
      </c>
      <c r="M31" s="39">
        <v>39713</v>
      </c>
      <c r="N31" s="39">
        <v>44744</v>
      </c>
    </row>
  </sheetData>
  <mergeCells count="1">
    <mergeCell ref="A9:A29"/>
  </mergeCells>
  <pageMargins left="0.5" right="0.5" top="0.75" bottom="0.75" header="0.3" footer="0.3"/>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N28"/>
  <sheetViews>
    <sheetView workbookViewId="0"/>
  </sheetViews>
  <sheetFormatPr defaultRowHeight="15" x14ac:dyDescent="0.25"/>
  <sheetData>
    <row r="1" spans="1:40" ht="45.75" customHeight="1" x14ac:dyDescent="0.25">
      <c r="A1" s="16" t="s">
        <v>155</v>
      </c>
      <c r="B1" s="16" t="s">
        <v>156</v>
      </c>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row>
    <row r="2" spans="1:40" x14ac:dyDescent="0.25">
      <c r="A2" s="16"/>
      <c r="B2" s="16"/>
      <c r="C2" s="129" t="s">
        <v>141</v>
      </c>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18"/>
      <c r="AD2" s="129" t="s">
        <v>142</v>
      </c>
      <c r="AE2" s="130"/>
      <c r="AF2" s="130"/>
      <c r="AG2" s="130"/>
      <c r="AH2" s="130"/>
      <c r="AI2" s="130"/>
      <c r="AJ2" s="130"/>
      <c r="AK2" s="130"/>
      <c r="AL2" s="130"/>
      <c r="AM2" s="130"/>
      <c r="AN2" s="118"/>
    </row>
    <row r="3" spans="1:40" ht="15.75" customHeight="1" thickBot="1" x14ac:dyDescent="0.3">
      <c r="A3" s="18"/>
      <c r="B3" s="18"/>
      <c r="C3" s="19">
        <v>1990</v>
      </c>
      <c r="D3" s="19">
        <v>1991</v>
      </c>
      <c r="E3" s="19">
        <v>1992</v>
      </c>
      <c r="F3" s="19">
        <v>1993</v>
      </c>
      <c r="G3" s="19">
        <v>1994</v>
      </c>
      <c r="H3" s="19">
        <v>1995</v>
      </c>
      <c r="I3" s="19">
        <v>1996</v>
      </c>
      <c r="J3" s="19">
        <v>1997</v>
      </c>
      <c r="K3" s="19">
        <v>1998</v>
      </c>
      <c r="L3" s="19">
        <v>1999</v>
      </c>
      <c r="M3" s="19">
        <v>2000</v>
      </c>
      <c r="N3" s="19">
        <v>2001</v>
      </c>
      <c r="O3" s="19">
        <v>2002</v>
      </c>
      <c r="P3" s="19">
        <v>2003</v>
      </c>
      <c r="Q3" s="19">
        <v>2004</v>
      </c>
      <c r="R3" s="19">
        <v>2005</v>
      </c>
      <c r="S3" s="19">
        <v>2006</v>
      </c>
      <c r="T3" s="19">
        <v>2007</v>
      </c>
      <c r="U3" s="19">
        <v>2008</v>
      </c>
      <c r="V3" s="19">
        <v>2009</v>
      </c>
      <c r="W3" s="19">
        <v>2010</v>
      </c>
      <c r="X3" s="19">
        <v>2011</v>
      </c>
      <c r="Y3" s="19">
        <v>2012</v>
      </c>
      <c r="Z3" s="19">
        <v>2013</v>
      </c>
      <c r="AA3" s="19">
        <v>2014</v>
      </c>
      <c r="AB3" s="19">
        <v>2015</v>
      </c>
      <c r="AC3" s="19">
        <v>2016</v>
      </c>
      <c r="AD3" s="19" t="s">
        <v>143</v>
      </c>
      <c r="AE3" s="19" t="s">
        <v>144</v>
      </c>
      <c r="AF3" s="19" t="s">
        <v>157</v>
      </c>
      <c r="AG3" s="19" t="s">
        <v>158</v>
      </c>
      <c r="AH3" s="19" t="s">
        <v>159</v>
      </c>
      <c r="AI3" s="19" t="s">
        <v>160</v>
      </c>
      <c r="AJ3" s="19" t="s">
        <v>161</v>
      </c>
      <c r="AK3" s="19" t="s">
        <v>162</v>
      </c>
      <c r="AL3" s="19" t="s">
        <v>163</v>
      </c>
      <c r="AM3" s="19" t="s">
        <v>164</v>
      </c>
      <c r="AN3" s="19" t="s">
        <v>165</v>
      </c>
    </row>
    <row r="4" spans="1:40" ht="15.75" customHeight="1" thickTop="1" x14ac:dyDescent="0.25">
      <c r="A4" s="131" t="s">
        <v>166</v>
      </c>
      <c r="B4" s="20" t="s">
        <v>167</v>
      </c>
      <c r="C4" s="21">
        <v>142502</v>
      </c>
      <c r="D4" s="21">
        <v>146903</v>
      </c>
      <c r="E4" s="21">
        <v>147464</v>
      </c>
      <c r="F4" s="21">
        <v>153468</v>
      </c>
      <c r="G4" s="21">
        <v>159861</v>
      </c>
      <c r="H4" s="21">
        <v>169021</v>
      </c>
      <c r="I4" s="21">
        <v>173377</v>
      </c>
      <c r="J4" s="21">
        <v>175557</v>
      </c>
      <c r="K4" s="21">
        <v>188384</v>
      </c>
      <c r="L4" s="21">
        <v>188598</v>
      </c>
      <c r="M4" s="21">
        <v>196561</v>
      </c>
      <c r="N4" s="21">
        <v>200134</v>
      </c>
      <c r="O4" s="21">
        <v>211116</v>
      </c>
      <c r="P4" s="21">
        <v>219021</v>
      </c>
      <c r="Q4" s="21">
        <v>220335</v>
      </c>
      <c r="R4" s="21">
        <v>226544</v>
      </c>
      <c r="S4" s="21">
        <v>230115</v>
      </c>
      <c r="T4" s="21">
        <v>232405</v>
      </c>
      <c r="U4" s="21">
        <v>226874</v>
      </c>
      <c r="V4" s="21">
        <v>225966</v>
      </c>
      <c r="W4" s="24">
        <v>233034</v>
      </c>
      <c r="X4" s="24">
        <v>224064</v>
      </c>
      <c r="Y4" s="24">
        <v>220943</v>
      </c>
      <c r="Z4" s="24">
        <v>221534</v>
      </c>
      <c r="AA4" s="24">
        <v>224646</v>
      </c>
      <c r="AB4" s="24">
        <v>234489</v>
      </c>
      <c r="AC4" s="24">
        <v>234041</v>
      </c>
      <c r="AD4" s="24">
        <v>230867</v>
      </c>
      <c r="AE4" s="24">
        <v>233407</v>
      </c>
      <c r="AF4" s="24">
        <v>235517</v>
      </c>
      <c r="AG4" s="24">
        <v>238021</v>
      </c>
      <c r="AH4" s="24">
        <v>239553</v>
      </c>
      <c r="AI4" s="24">
        <v>241812</v>
      </c>
      <c r="AJ4" s="24">
        <v>243938</v>
      </c>
      <c r="AK4" s="24">
        <v>246540</v>
      </c>
      <c r="AL4" s="24">
        <v>248440</v>
      </c>
      <c r="AM4" s="24">
        <v>250948</v>
      </c>
      <c r="AN4" s="24">
        <v>250948</v>
      </c>
    </row>
    <row r="5" spans="1:40" x14ac:dyDescent="0.25">
      <c r="A5" s="113"/>
      <c r="B5" s="20" t="s">
        <v>154</v>
      </c>
      <c r="C5" s="21">
        <v>250681</v>
      </c>
      <c r="D5" s="21">
        <v>253701</v>
      </c>
      <c r="E5" s="21">
        <v>252256</v>
      </c>
      <c r="F5" s="21">
        <v>257447</v>
      </c>
      <c r="G5" s="21">
        <v>259947</v>
      </c>
      <c r="H5" s="21">
        <v>261235</v>
      </c>
      <c r="I5" s="21">
        <v>263125</v>
      </c>
      <c r="J5" s="21">
        <v>264464</v>
      </c>
      <c r="K5" s="21">
        <v>268309</v>
      </c>
      <c r="L5" s="21">
        <v>277902</v>
      </c>
      <c r="M5" s="21">
        <v>281518</v>
      </c>
      <c r="N5" s="21">
        <v>282670</v>
      </c>
      <c r="O5" s="21">
        <v>286199</v>
      </c>
      <c r="P5" s="21">
        <v>288791</v>
      </c>
      <c r="Q5" s="21">
        <v>292724.5</v>
      </c>
      <c r="R5" s="21">
        <v>303607</v>
      </c>
      <c r="S5" s="21">
        <v>294319</v>
      </c>
      <c r="T5" s="21">
        <v>301766</v>
      </c>
      <c r="U5" s="21">
        <v>297362</v>
      </c>
      <c r="V5" s="21">
        <v>285624.66509999998</v>
      </c>
      <c r="W5" s="24">
        <v>294276</v>
      </c>
      <c r="X5" s="24">
        <v>292481.7058</v>
      </c>
      <c r="Y5" s="24">
        <v>290914</v>
      </c>
      <c r="Z5" s="24">
        <v>292882</v>
      </c>
      <c r="AA5" s="24">
        <v>287160</v>
      </c>
      <c r="AB5" s="24">
        <v>286280</v>
      </c>
      <c r="AC5" s="24">
        <v>285179</v>
      </c>
      <c r="AD5" s="24">
        <v>283820</v>
      </c>
      <c r="AE5" s="24">
        <v>284422</v>
      </c>
      <c r="AF5" s="94">
        <v>283141</v>
      </c>
      <c r="AG5" s="94">
        <v>281192</v>
      </c>
      <c r="AH5" s="94">
        <v>278832</v>
      </c>
      <c r="AI5" s="94">
        <v>277303</v>
      </c>
      <c r="AJ5" s="94">
        <v>276292</v>
      </c>
      <c r="AK5" s="94">
        <v>275484</v>
      </c>
      <c r="AL5" s="94">
        <v>274920</v>
      </c>
      <c r="AM5" s="94">
        <v>274600</v>
      </c>
      <c r="AN5" s="94">
        <v>274420</v>
      </c>
    </row>
    <row r="6" spans="1:40" ht="34.5" customHeight="1" x14ac:dyDescent="0.25">
      <c r="A6" s="113"/>
      <c r="B6" s="20" t="s">
        <v>168</v>
      </c>
      <c r="C6" s="21">
        <v>1725276</v>
      </c>
      <c r="D6" s="21">
        <v>1774108</v>
      </c>
      <c r="E6" s="21">
        <v>1766746</v>
      </c>
      <c r="F6" s="21">
        <v>1871168</v>
      </c>
      <c r="G6" s="21">
        <v>1907338</v>
      </c>
      <c r="H6" s="21">
        <v>1999873</v>
      </c>
      <c r="I6" s="21">
        <v>2059485</v>
      </c>
      <c r="J6" s="21">
        <v>2062452</v>
      </c>
      <c r="K6" s="21">
        <v>2112728</v>
      </c>
      <c r="L6" s="21">
        <v>2147860</v>
      </c>
      <c r="M6" s="21">
        <v>2210739</v>
      </c>
      <c r="N6" s="21">
        <v>2203509</v>
      </c>
      <c r="O6" s="21">
        <v>2301321</v>
      </c>
      <c r="P6" s="21">
        <v>2255233</v>
      </c>
      <c r="Q6" s="21">
        <v>2313180</v>
      </c>
      <c r="R6" s="21">
        <v>2385460.8530000001</v>
      </c>
      <c r="S6" s="21">
        <v>2361721</v>
      </c>
      <c r="T6" s="21">
        <v>2432474.6</v>
      </c>
      <c r="U6" s="21">
        <v>2406730</v>
      </c>
      <c r="V6" s="21">
        <v>2293617.257437604</v>
      </c>
      <c r="W6" s="24">
        <v>2456553.3130138922</v>
      </c>
      <c r="X6" s="24">
        <v>2401810.155910641</v>
      </c>
      <c r="Y6" s="24">
        <f t="shared" ref="Y6:AN6" si="0">SUM(Y7:Y16)</f>
        <v>2391745</v>
      </c>
      <c r="Z6" s="24">
        <f t="shared" si="0"/>
        <v>2394268</v>
      </c>
      <c r="AA6" s="24">
        <f t="shared" si="0"/>
        <v>2387853</v>
      </c>
      <c r="AB6" s="24">
        <f t="shared" si="0"/>
        <v>2370799.1100404309</v>
      </c>
      <c r="AC6" s="24">
        <f t="shared" si="0"/>
        <v>2381793.873625</v>
      </c>
      <c r="AD6" s="24">
        <f t="shared" si="0"/>
        <v>2437101.8303070003</v>
      </c>
      <c r="AE6" s="24">
        <f t="shared" si="0"/>
        <v>2486517.8718059999</v>
      </c>
      <c r="AF6" s="24">
        <f t="shared" si="0"/>
        <v>2494678.2000000002</v>
      </c>
      <c r="AG6" s="24">
        <f t="shared" si="0"/>
        <v>2502567</v>
      </c>
      <c r="AH6" s="24">
        <f t="shared" si="0"/>
        <v>2508070.9000000004</v>
      </c>
      <c r="AI6" s="24">
        <f t="shared" si="0"/>
        <v>2522555</v>
      </c>
      <c r="AJ6" s="24">
        <f t="shared" si="0"/>
        <v>2535245.5</v>
      </c>
      <c r="AK6" s="24">
        <f t="shared" si="0"/>
        <v>2550498.4</v>
      </c>
      <c r="AL6" s="24">
        <f t="shared" si="0"/>
        <v>2565141.8000000003</v>
      </c>
      <c r="AM6" s="24">
        <f t="shared" si="0"/>
        <v>2579323.4000000004</v>
      </c>
      <c r="AN6" s="24">
        <f t="shared" si="0"/>
        <v>2596540.2999999998</v>
      </c>
    </row>
    <row r="7" spans="1:40" x14ac:dyDescent="0.25">
      <c r="A7" s="113"/>
      <c r="B7" s="20" t="s">
        <v>169</v>
      </c>
      <c r="C7" s="21">
        <v>442507</v>
      </c>
      <c r="D7" s="21">
        <v>450586</v>
      </c>
      <c r="E7" s="21">
        <v>450853</v>
      </c>
      <c r="F7" s="21">
        <v>476644</v>
      </c>
      <c r="G7" s="21">
        <v>487489</v>
      </c>
      <c r="H7" s="21">
        <v>521247</v>
      </c>
      <c r="I7" s="21">
        <v>532747</v>
      </c>
      <c r="J7" s="21">
        <v>524414</v>
      </c>
      <c r="K7" s="21">
        <v>535015</v>
      </c>
      <c r="L7" s="21">
        <v>547846</v>
      </c>
      <c r="M7" s="21">
        <v>545958</v>
      </c>
      <c r="N7" s="21">
        <v>546167</v>
      </c>
      <c r="O7" s="21">
        <v>567897</v>
      </c>
      <c r="P7" s="21">
        <v>545109</v>
      </c>
      <c r="Q7" s="21">
        <v>553236</v>
      </c>
      <c r="R7" s="21" t="s">
        <v>149</v>
      </c>
      <c r="S7" s="21" t="s">
        <v>149</v>
      </c>
      <c r="T7" s="21" t="s">
        <v>149</v>
      </c>
      <c r="U7" s="21" t="s">
        <v>149</v>
      </c>
      <c r="V7" s="21" t="s">
        <v>149</v>
      </c>
      <c r="W7" s="21" t="s">
        <v>149</v>
      </c>
      <c r="X7" s="22" t="s">
        <v>149</v>
      </c>
      <c r="Y7" s="22" t="s">
        <v>149</v>
      </c>
      <c r="Z7" s="22" t="s">
        <v>149</v>
      </c>
      <c r="AA7" s="22" t="s">
        <v>149</v>
      </c>
      <c r="AB7" s="22" t="s">
        <v>149</v>
      </c>
      <c r="AC7" s="22" t="s">
        <v>149</v>
      </c>
      <c r="AD7" s="22" t="s">
        <v>149</v>
      </c>
      <c r="AE7" s="22" t="s">
        <v>149</v>
      </c>
      <c r="AF7" s="22" t="s">
        <v>149</v>
      </c>
      <c r="AG7" s="22" t="s">
        <v>149</v>
      </c>
      <c r="AH7" s="22" t="s">
        <v>149</v>
      </c>
      <c r="AI7" s="22" t="s">
        <v>149</v>
      </c>
      <c r="AJ7" s="22" t="s">
        <v>149</v>
      </c>
      <c r="AK7" s="22" t="s">
        <v>149</v>
      </c>
      <c r="AL7" s="22" t="s">
        <v>149</v>
      </c>
      <c r="AM7" s="22" t="s">
        <v>149</v>
      </c>
      <c r="AN7" s="22" t="s">
        <v>149</v>
      </c>
    </row>
    <row r="8" spans="1:40" x14ac:dyDescent="0.25">
      <c r="A8" s="113"/>
      <c r="B8" s="20" t="s">
        <v>170</v>
      </c>
      <c r="C8" s="21">
        <v>221099</v>
      </c>
      <c r="D8" s="21">
        <v>228588</v>
      </c>
      <c r="E8" s="21">
        <v>226154</v>
      </c>
      <c r="F8" s="21">
        <v>235980</v>
      </c>
      <c r="G8" s="21">
        <v>238379</v>
      </c>
      <c r="H8" s="21">
        <v>243043</v>
      </c>
      <c r="I8" s="21">
        <v>243328</v>
      </c>
      <c r="J8" s="21">
        <v>243967</v>
      </c>
      <c r="K8" s="21">
        <v>248806</v>
      </c>
      <c r="L8" s="21">
        <v>255741</v>
      </c>
      <c r="M8" s="21">
        <v>262320</v>
      </c>
      <c r="N8" s="21">
        <v>263841</v>
      </c>
      <c r="O8" s="21">
        <v>273907</v>
      </c>
      <c r="P8" s="21">
        <v>276600</v>
      </c>
      <c r="Q8" s="21">
        <v>283646</v>
      </c>
      <c r="R8" s="21" t="s">
        <v>149</v>
      </c>
      <c r="S8" s="21" t="s">
        <v>149</v>
      </c>
      <c r="T8" s="21" t="s">
        <v>149</v>
      </c>
      <c r="U8" s="21" t="s">
        <v>149</v>
      </c>
      <c r="V8" s="21" t="s">
        <v>149</v>
      </c>
      <c r="W8" s="21" t="s">
        <v>149</v>
      </c>
      <c r="X8" s="22" t="s">
        <v>149</v>
      </c>
      <c r="Y8" s="22" t="s">
        <v>149</v>
      </c>
      <c r="Z8" s="22" t="s">
        <v>149</v>
      </c>
      <c r="AA8" s="22" t="s">
        <v>149</v>
      </c>
      <c r="AB8" s="22" t="s">
        <v>149</v>
      </c>
      <c r="AC8" s="22" t="s">
        <v>149</v>
      </c>
      <c r="AD8" s="22" t="s">
        <v>149</v>
      </c>
      <c r="AE8" s="22" t="s">
        <v>149</v>
      </c>
      <c r="AF8" s="22" t="s">
        <v>149</v>
      </c>
      <c r="AG8" s="22" t="s">
        <v>149</v>
      </c>
      <c r="AH8" s="22" t="s">
        <v>149</v>
      </c>
      <c r="AI8" s="22" t="s">
        <v>149</v>
      </c>
      <c r="AJ8" s="22" t="s">
        <v>149</v>
      </c>
      <c r="AK8" s="22" t="s">
        <v>149</v>
      </c>
      <c r="AL8" s="22" t="s">
        <v>149</v>
      </c>
      <c r="AM8" s="22" t="s">
        <v>149</v>
      </c>
      <c r="AN8" s="22" t="s">
        <v>149</v>
      </c>
    </row>
    <row r="9" spans="1:40" x14ac:dyDescent="0.25">
      <c r="A9" s="113"/>
      <c r="B9" s="20" t="s">
        <v>171</v>
      </c>
      <c r="C9" s="21">
        <v>197326</v>
      </c>
      <c r="D9" s="21">
        <v>205880</v>
      </c>
      <c r="E9" s="21">
        <v>200250</v>
      </c>
      <c r="F9" s="21">
        <v>208340</v>
      </c>
      <c r="G9" s="21">
        <v>213803</v>
      </c>
      <c r="H9" s="21">
        <v>224380</v>
      </c>
      <c r="I9" s="21">
        <v>234300</v>
      </c>
      <c r="J9" s="21">
        <v>236143</v>
      </c>
      <c r="K9" s="21">
        <v>244073</v>
      </c>
      <c r="L9" s="21">
        <v>243278</v>
      </c>
      <c r="M9" s="21">
        <v>259608</v>
      </c>
      <c r="N9" s="21">
        <v>271053</v>
      </c>
      <c r="O9" s="21">
        <v>279264</v>
      </c>
      <c r="P9" s="21">
        <v>267068</v>
      </c>
      <c r="Q9" s="21">
        <v>274760</v>
      </c>
      <c r="R9" s="21" t="s">
        <v>149</v>
      </c>
      <c r="S9" s="21" t="s">
        <v>149</v>
      </c>
      <c r="T9" s="21" t="s">
        <v>149</v>
      </c>
      <c r="U9" s="21" t="s">
        <v>149</v>
      </c>
      <c r="V9" s="21" t="s">
        <v>149</v>
      </c>
      <c r="W9" s="21" t="s">
        <v>149</v>
      </c>
      <c r="X9" s="22" t="s">
        <v>149</v>
      </c>
      <c r="Y9" s="22" t="s">
        <v>149</v>
      </c>
      <c r="Z9" s="22" t="s">
        <v>149</v>
      </c>
      <c r="AA9" s="22" t="s">
        <v>149</v>
      </c>
      <c r="AB9" s="22" t="s">
        <v>149</v>
      </c>
      <c r="AC9" s="22" t="s">
        <v>149</v>
      </c>
      <c r="AD9" s="22" t="s">
        <v>149</v>
      </c>
      <c r="AE9" s="22" t="s">
        <v>149</v>
      </c>
      <c r="AF9" s="22" t="s">
        <v>149</v>
      </c>
      <c r="AG9" s="22" t="s">
        <v>149</v>
      </c>
      <c r="AH9" s="22" t="s">
        <v>149</v>
      </c>
      <c r="AI9" s="22" t="s">
        <v>149</v>
      </c>
      <c r="AJ9" s="22" t="s">
        <v>149</v>
      </c>
      <c r="AK9" s="22" t="s">
        <v>149</v>
      </c>
      <c r="AL9" s="22" t="s">
        <v>149</v>
      </c>
      <c r="AM9" s="22" t="s">
        <v>149</v>
      </c>
      <c r="AN9" s="22" t="s">
        <v>149</v>
      </c>
    </row>
    <row r="10" spans="1:40" x14ac:dyDescent="0.25">
      <c r="A10" s="113"/>
      <c r="B10" s="20" t="s">
        <v>172</v>
      </c>
      <c r="C10" s="22" t="s">
        <v>149</v>
      </c>
      <c r="D10" s="22" t="s">
        <v>149</v>
      </c>
      <c r="E10" s="22" t="s">
        <v>149</v>
      </c>
      <c r="F10" s="22" t="s">
        <v>149</v>
      </c>
      <c r="G10" s="22" t="s">
        <v>149</v>
      </c>
      <c r="H10" s="22" t="s">
        <v>149</v>
      </c>
      <c r="I10" s="22" t="s">
        <v>149</v>
      </c>
      <c r="J10" s="22" t="s">
        <v>149</v>
      </c>
      <c r="K10" s="22" t="s">
        <v>149</v>
      </c>
      <c r="L10" s="22" t="s">
        <v>149</v>
      </c>
      <c r="M10" s="22" t="s">
        <v>149</v>
      </c>
      <c r="N10" s="22" t="s">
        <v>149</v>
      </c>
      <c r="O10" s="22" t="s">
        <v>149</v>
      </c>
      <c r="P10" s="22" t="s">
        <v>149</v>
      </c>
      <c r="Q10" s="22" t="s">
        <v>149</v>
      </c>
      <c r="R10" s="21" t="s">
        <v>149</v>
      </c>
      <c r="S10" s="21" t="s">
        <v>149</v>
      </c>
      <c r="T10" s="21" t="s">
        <v>149</v>
      </c>
      <c r="U10" s="21" t="s">
        <v>149</v>
      </c>
      <c r="V10" s="21" t="s">
        <v>149</v>
      </c>
      <c r="W10" s="24">
        <v>30690.612315598701</v>
      </c>
      <c r="X10" s="95">
        <v>29232.66529571062</v>
      </c>
      <c r="Y10" s="95">
        <v>29362</v>
      </c>
      <c r="Z10" s="95">
        <v>29798</v>
      </c>
      <c r="AA10" s="95">
        <v>31756</v>
      </c>
      <c r="AB10" s="22" t="s">
        <v>149</v>
      </c>
      <c r="AC10" s="22" t="s">
        <v>149</v>
      </c>
      <c r="AD10" s="22" t="s">
        <v>149</v>
      </c>
      <c r="AE10" s="22" t="s">
        <v>149</v>
      </c>
      <c r="AF10" s="22" t="s">
        <v>149</v>
      </c>
      <c r="AG10" s="22" t="s">
        <v>149</v>
      </c>
      <c r="AH10" s="22" t="s">
        <v>149</v>
      </c>
      <c r="AI10" s="22" t="s">
        <v>149</v>
      </c>
      <c r="AJ10" s="22" t="s">
        <v>149</v>
      </c>
      <c r="AK10" s="22" t="s">
        <v>149</v>
      </c>
      <c r="AL10" s="22" t="s">
        <v>149</v>
      </c>
      <c r="AM10" s="22" t="s">
        <v>149</v>
      </c>
      <c r="AN10" s="22" t="s">
        <v>149</v>
      </c>
    </row>
    <row r="11" spans="1:40" x14ac:dyDescent="0.25">
      <c r="A11" s="113"/>
      <c r="B11" s="20" t="s">
        <v>148</v>
      </c>
      <c r="C11" s="22" t="s">
        <v>149</v>
      </c>
      <c r="D11" s="22" t="s">
        <v>149</v>
      </c>
      <c r="E11" s="22" t="s">
        <v>149</v>
      </c>
      <c r="F11" s="22" t="s">
        <v>149</v>
      </c>
      <c r="G11" s="22" t="s">
        <v>149</v>
      </c>
      <c r="H11" s="22" t="s">
        <v>149</v>
      </c>
      <c r="I11" s="22" t="s">
        <v>149</v>
      </c>
      <c r="J11" s="22" t="s">
        <v>149</v>
      </c>
      <c r="K11" s="22" t="s">
        <v>149</v>
      </c>
      <c r="L11" s="22" t="s">
        <v>149</v>
      </c>
      <c r="M11" s="22" t="s">
        <v>149</v>
      </c>
      <c r="N11" s="22" t="s">
        <v>149</v>
      </c>
      <c r="O11" s="22" t="s">
        <v>149</v>
      </c>
      <c r="P11" s="22" t="s">
        <v>149</v>
      </c>
      <c r="Q11" s="22" t="s">
        <v>149</v>
      </c>
      <c r="R11" s="21" t="s">
        <v>149</v>
      </c>
      <c r="S11" s="21" t="s">
        <v>149</v>
      </c>
      <c r="T11" s="21" t="s">
        <v>149</v>
      </c>
      <c r="U11" s="21" t="s">
        <v>149</v>
      </c>
      <c r="V11" s="21" t="s">
        <v>149</v>
      </c>
      <c r="W11" s="24">
        <v>585273.92271399987</v>
      </c>
      <c r="X11" s="95">
        <v>521691.61049200001</v>
      </c>
      <c r="Y11" s="95">
        <v>497906</v>
      </c>
      <c r="Z11" s="95">
        <v>662636</v>
      </c>
      <c r="AA11" s="95">
        <v>641290</v>
      </c>
      <c r="AB11" s="95">
        <v>659676.80000000005</v>
      </c>
      <c r="AC11" s="24">
        <v>660862</v>
      </c>
      <c r="AD11" s="24">
        <v>693350.57999999984</v>
      </c>
      <c r="AE11" s="24">
        <v>727495.08999999985</v>
      </c>
      <c r="AF11" s="24">
        <v>730209.6</v>
      </c>
      <c r="AG11" s="24">
        <v>734426.8</v>
      </c>
      <c r="AH11" s="24">
        <v>737476.7</v>
      </c>
      <c r="AI11" s="24">
        <v>743245.1</v>
      </c>
      <c r="AJ11" s="24">
        <v>748127.3</v>
      </c>
      <c r="AK11" s="24">
        <v>751630.1</v>
      </c>
      <c r="AL11" s="24">
        <v>756057.59999999998</v>
      </c>
      <c r="AM11" s="24">
        <v>760001.2</v>
      </c>
      <c r="AN11" s="24">
        <v>763944.8</v>
      </c>
    </row>
    <row r="12" spans="1:40" x14ac:dyDescent="0.25">
      <c r="A12" s="113"/>
      <c r="B12" s="20" t="s">
        <v>173</v>
      </c>
      <c r="C12" s="21">
        <v>127102</v>
      </c>
      <c r="D12" s="21">
        <v>129826</v>
      </c>
      <c r="E12" s="21">
        <v>126881</v>
      </c>
      <c r="F12" s="21">
        <v>131112</v>
      </c>
      <c r="G12" s="21">
        <v>136498</v>
      </c>
      <c r="H12" s="21">
        <v>143447</v>
      </c>
      <c r="I12" s="21">
        <v>145479</v>
      </c>
      <c r="J12" s="21">
        <v>151661</v>
      </c>
      <c r="K12" s="21">
        <v>155194</v>
      </c>
      <c r="L12" s="21">
        <v>152350</v>
      </c>
      <c r="M12" s="21">
        <v>145981</v>
      </c>
      <c r="N12" s="21">
        <v>144893</v>
      </c>
      <c r="O12" s="21">
        <v>150058</v>
      </c>
      <c r="P12" s="21">
        <v>153918</v>
      </c>
      <c r="Q12" s="21">
        <v>152975</v>
      </c>
      <c r="R12" s="21">
        <v>216632.62299999999</v>
      </c>
      <c r="S12" s="21">
        <v>222748</v>
      </c>
      <c r="T12" s="21">
        <v>217601.6</v>
      </c>
      <c r="U12" s="21">
        <v>227536</v>
      </c>
      <c r="V12" s="21">
        <v>213797.03134773829</v>
      </c>
      <c r="W12" s="21" t="s">
        <v>149</v>
      </c>
      <c r="X12" s="23" t="s">
        <v>149</v>
      </c>
      <c r="Y12" s="23" t="s">
        <v>149</v>
      </c>
      <c r="Z12" s="23" t="s">
        <v>149</v>
      </c>
      <c r="AA12" s="23" t="s">
        <v>149</v>
      </c>
      <c r="AB12" s="23" t="s">
        <v>149</v>
      </c>
      <c r="AC12" s="23" t="s">
        <v>149</v>
      </c>
      <c r="AD12" s="23" t="s">
        <v>149</v>
      </c>
      <c r="AE12" s="23" t="s">
        <v>149</v>
      </c>
      <c r="AF12" s="23" t="s">
        <v>149</v>
      </c>
      <c r="AG12" s="23" t="s">
        <v>149</v>
      </c>
      <c r="AH12" s="23" t="s">
        <v>149</v>
      </c>
      <c r="AI12" s="23" t="s">
        <v>149</v>
      </c>
      <c r="AJ12" s="23" t="s">
        <v>149</v>
      </c>
      <c r="AK12" s="23" t="s">
        <v>149</v>
      </c>
      <c r="AL12" s="23" t="s">
        <v>149</v>
      </c>
      <c r="AM12" s="23" t="s">
        <v>149</v>
      </c>
      <c r="AN12" s="23" t="s">
        <v>149</v>
      </c>
    </row>
    <row r="13" spans="1:40" x14ac:dyDescent="0.25">
      <c r="A13" s="113"/>
      <c r="B13" s="20" t="s">
        <v>20</v>
      </c>
      <c r="C13" s="22" t="s">
        <v>149</v>
      </c>
      <c r="D13" s="22" t="s">
        <v>149</v>
      </c>
      <c r="E13" s="22" t="s">
        <v>149</v>
      </c>
      <c r="F13" s="22" t="s">
        <v>149</v>
      </c>
      <c r="G13" s="22" t="s">
        <v>149</v>
      </c>
      <c r="H13" s="22" t="s">
        <v>149</v>
      </c>
      <c r="I13" s="22" t="s">
        <v>149</v>
      </c>
      <c r="J13" s="22" t="s">
        <v>149</v>
      </c>
      <c r="K13" s="22" t="s">
        <v>149</v>
      </c>
      <c r="L13" s="22" t="s">
        <v>149</v>
      </c>
      <c r="M13" s="22" t="s">
        <v>149</v>
      </c>
      <c r="N13" s="22" t="s">
        <v>149</v>
      </c>
      <c r="O13" s="22" t="s">
        <v>149</v>
      </c>
      <c r="P13" s="22" t="s">
        <v>149</v>
      </c>
      <c r="Q13" s="22" t="s">
        <v>149</v>
      </c>
      <c r="R13" s="21" t="s">
        <v>149</v>
      </c>
      <c r="S13" s="21" t="s">
        <v>149</v>
      </c>
      <c r="T13" s="21" t="s">
        <v>149</v>
      </c>
      <c r="U13" s="21" t="s">
        <v>149</v>
      </c>
      <c r="V13" s="21" t="s">
        <v>149</v>
      </c>
      <c r="W13" s="24">
        <v>712730.91033500014</v>
      </c>
      <c r="X13" s="95">
        <v>739754.48568299983</v>
      </c>
      <c r="Y13" s="95">
        <v>781247</v>
      </c>
      <c r="Z13" s="95">
        <v>791151</v>
      </c>
      <c r="AA13" s="95">
        <v>797461</v>
      </c>
      <c r="AB13" s="95">
        <v>792566</v>
      </c>
      <c r="AC13" s="24">
        <v>792313</v>
      </c>
      <c r="AD13" s="24">
        <v>814868</v>
      </c>
      <c r="AE13" s="24">
        <v>821638</v>
      </c>
      <c r="AF13" s="24">
        <v>823890</v>
      </c>
      <c r="AG13" s="24">
        <v>822831</v>
      </c>
      <c r="AH13" s="24">
        <v>820415</v>
      </c>
      <c r="AI13" s="24">
        <v>821341</v>
      </c>
      <c r="AJ13" s="24">
        <v>822626</v>
      </c>
      <c r="AK13" s="24">
        <v>827522</v>
      </c>
      <c r="AL13" s="24">
        <v>831502</v>
      </c>
      <c r="AM13" s="24">
        <v>835137</v>
      </c>
      <c r="AN13" s="24">
        <v>841099</v>
      </c>
    </row>
    <row r="14" spans="1:40" x14ac:dyDescent="0.25">
      <c r="A14" s="113"/>
      <c r="B14" s="20" t="s">
        <v>174</v>
      </c>
      <c r="C14" s="22" t="s">
        <v>149</v>
      </c>
      <c r="D14" s="22" t="s">
        <v>149</v>
      </c>
      <c r="E14" s="22" t="s">
        <v>149</v>
      </c>
      <c r="F14" s="22" t="s">
        <v>149</v>
      </c>
      <c r="G14" s="22" t="s">
        <v>149</v>
      </c>
      <c r="H14" s="22" t="s">
        <v>149</v>
      </c>
      <c r="I14" s="22" t="s">
        <v>149</v>
      </c>
      <c r="J14" s="22" t="s">
        <v>149</v>
      </c>
      <c r="K14" s="22" t="s">
        <v>149</v>
      </c>
      <c r="L14" s="22" t="s">
        <v>149</v>
      </c>
      <c r="M14" s="22" t="s">
        <v>149</v>
      </c>
      <c r="N14" s="22" t="s">
        <v>149</v>
      </c>
      <c r="O14" s="22" t="s">
        <v>149</v>
      </c>
      <c r="P14" s="22" t="s">
        <v>149</v>
      </c>
      <c r="Q14" s="22" t="s">
        <v>149</v>
      </c>
      <c r="R14" s="21">
        <v>1005226</v>
      </c>
      <c r="S14" s="21">
        <v>926279</v>
      </c>
      <c r="T14" s="21">
        <v>954700</v>
      </c>
      <c r="U14" s="21">
        <v>936201</v>
      </c>
      <c r="V14" s="21">
        <v>880377.09852000023</v>
      </c>
      <c r="W14" s="21" t="s">
        <v>149</v>
      </c>
      <c r="X14" s="23" t="s">
        <v>149</v>
      </c>
      <c r="Y14" s="23" t="s">
        <v>149</v>
      </c>
      <c r="Z14" s="23" t="s">
        <v>149</v>
      </c>
      <c r="AA14" s="23" t="s">
        <v>149</v>
      </c>
      <c r="AB14" s="23" t="s">
        <v>149</v>
      </c>
      <c r="AC14" s="23" t="s">
        <v>149</v>
      </c>
      <c r="AD14" s="23" t="s">
        <v>149</v>
      </c>
      <c r="AE14" s="23" t="s">
        <v>149</v>
      </c>
      <c r="AF14" s="23" t="s">
        <v>149</v>
      </c>
      <c r="AG14" s="23" t="s">
        <v>149</v>
      </c>
      <c r="AH14" s="23" t="s">
        <v>149</v>
      </c>
      <c r="AI14" s="23" t="s">
        <v>149</v>
      </c>
      <c r="AJ14" s="23" t="s">
        <v>149</v>
      </c>
      <c r="AK14" s="23" t="s">
        <v>149</v>
      </c>
      <c r="AL14" s="23" t="s">
        <v>149</v>
      </c>
      <c r="AM14" s="23" t="s">
        <v>149</v>
      </c>
      <c r="AN14" s="23" t="s">
        <v>149</v>
      </c>
    </row>
    <row r="15" spans="1:40" x14ac:dyDescent="0.25">
      <c r="A15" s="113"/>
      <c r="B15" s="20" t="s">
        <v>175</v>
      </c>
      <c r="C15" s="21">
        <v>485205</v>
      </c>
      <c r="D15" s="21">
        <v>501794</v>
      </c>
      <c r="E15" s="21">
        <v>506140</v>
      </c>
      <c r="F15" s="21">
        <v>538339</v>
      </c>
      <c r="G15" s="21">
        <v>544945</v>
      </c>
      <c r="H15" s="21">
        <v>572587</v>
      </c>
      <c r="I15" s="21">
        <v>596940</v>
      </c>
      <c r="J15" s="21">
        <v>730248</v>
      </c>
      <c r="K15" s="21">
        <v>746538</v>
      </c>
      <c r="L15" s="21">
        <v>768408</v>
      </c>
      <c r="M15" s="21">
        <v>803211</v>
      </c>
      <c r="N15" s="21">
        <v>787139</v>
      </c>
      <c r="O15" s="21">
        <v>835319</v>
      </c>
      <c r="P15" s="21">
        <v>826964</v>
      </c>
      <c r="Q15" s="21">
        <v>856734</v>
      </c>
      <c r="R15" s="21">
        <v>962054.23</v>
      </c>
      <c r="S15" s="21">
        <v>1011173</v>
      </c>
      <c r="T15" s="21">
        <v>1049298</v>
      </c>
      <c r="U15" s="21">
        <v>1035390</v>
      </c>
      <c r="V15" s="21">
        <v>997142</v>
      </c>
      <c r="W15" s="24">
        <v>870367</v>
      </c>
      <c r="X15" s="95">
        <v>852843.06487800006</v>
      </c>
      <c r="Y15" s="95">
        <v>824640</v>
      </c>
      <c r="Z15" s="95">
        <v>661124</v>
      </c>
      <c r="AA15" s="95">
        <v>674054</v>
      </c>
      <c r="AB15" s="95">
        <v>668126</v>
      </c>
      <c r="AC15" s="96">
        <v>672720</v>
      </c>
      <c r="AD15" s="96">
        <v>673339</v>
      </c>
      <c r="AE15" s="96">
        <v>677048</v>
      </c>
      <c r="AF15" s="96">
        <v>681238</v>
      </c>
      <c r="AG15" s="96">
        <v>685684</v>
      </c>
      <c r="AH15" s="96">
        <v>689388</v>
      </c>
      <c r="AI15" s="96">
        <v>693376</v>
      </c>
      <c r="AJ15" s="96">
        <v>698595</v>
      </c>
      <c r="AK15" s="96">
        <v>703979</v>
      </c>
      <c r="AL15" s="96">
        <v>708819</v>
      </c>
      <c r="AM15" s="96">
        <v>714335</v>
      </c>
      <c r="AN15" s="96">
        <v>720420</v>
      </c>
    </row>
    <row r="16" spans="1:40" x14ac:dyDescent="0.25">
      <c r="A16" s="132"/>
      <c r="B16" s="20" t="s">
        <v>151</v>
      </c>
      <c r="C16" s="21">
        <v>252037</v>
      </c>
      <c r="D16" s="21">
        <v>257434</v>
      </c>
      <c r="E16" s="21">
        <v>256468</v>
      </c>
      <c r="F16" s="21">
        <v>280753</v>
      </c>
      <c r="G16" s="21">
        <v>286224</v>
      </c>
      <c r="H16" s="21">
        <v>295169</v>
      </c>
      <c r="I16" s="21">
        <v>306691</v>
      </c>
      <c r="J16" s="21">
        <v>176019</v>
      </c>
      <c r="K16" s="21">
        <v>183102</v>
      </c>
      <c r="L16" s="21">
        <v>180237</v>
      </c>
      <c r="M16" s="21">
        <v>193661</v>
      </c>
      <c r="N16" s="21">
        <v>190416</v>
      </c>
      <c r="O16" s="21">
        <v>194876</v>
      </c>
      <c r="P16" s="21">
        <v>185574</v>
      </c>
      <c r="Q16" s="21">
        <v>191829</v>
      </c>
      <c r="R16" s="21">
        <v>201548</v>
      </c>
      <c r="S16" s="21">
        <v>201521</v>
      </c>
      <c r="T16" s="21">
        <v>210875</v>
      </c>
      <c r="U16" s="21">
        <v>207603</v>
      </c>
      <c r="V16" s="21">
        <v>202301.12756986471</v>
      </c>
      <c r="W16" s="24">
        <v>257490.86764929281</v>
      </c>
      <c r="X16" s="95">
        <v>258288.32956193059</v>
      </c>
      <c r="Y16" s="95">
        <v>258590</v>
      </c>
      <c r="Z16" s="95">
        <v>249559</v>
      </c>
      <c r="AA16" s="95">
        <v>243292</v>
      </c>
      <c r="AB16" s="95">
        <v>250430.31004043101</v>
      </c>
      <c r="AC16" s="24">
        <v>255898.87362500001</v>
      </c>
      <c r="AD16" s="24">
        <v>255544.25030700001</v>
      </c>
      <c r="AE16" s="24">
        <v>260336.78180600001</v>
      </c>
      <c r="AF16" s="24">
        <v>259340.6</v>
      </c>
      <c r="AG16" s="24">
        <v>259625.2</v>
      </c>
      <c r="AH16" s="24">
        <v>260791.2</v>
      </c>
      <c r="AI16" s="24">
        <v>264592.90000000002</v>
      </c>
      <c r="AJ16" s="24">
        <v>265897.2</v>
      </c>
      <c r="AK16" s="24">
        <v>267367.3</v>
      </c>
      <c r="AL16" s="24">
        <v>268763.2</v>
      </c>
      <c r="AM16" s="24">
        <v>269850.2</v>
      </c>
      <c r="AN16" s="24">
        <v>271076.5</v>
      </c>
    </row>
    <row r="17" spans="1:40" x14ac:dyDescent="0.25">
      <c r="A17" s="20" t="s">
        <v>176</v>
      </c>
      <c r="B17" s="20" t="s">
        <v>146</v>
      </c>
      <c r="C17" s="21">
        <v>209789</v>
      </c>
      <c r="D17" s="21">
        <v>211568</v>
      </c>
      <c r="E17" s="21">
        <v>210699</v>
      </c>
      <c r="F17" s="21">
        <v>221901</v>
      </c>
      <c r="G17" s="21">
        <v>225098</v>
      </c>
      <c r="H17" s="21">
        <v>231440</v>
      </c>
      <c r="I17" s="21">
        <v>243456</v>
      </c>
      <c r="J17" s="21">
        <v>251840</v>
      </c>
      <c r="K17" s="21">
        <v>267970</v>
      </c>
      <c r="L17" s="21">
        <v>268622</v>
      </c>
      <c r="M17" s="21">
        <v>286313</v>
      </c>
      <c r="N17" s="21">
        <v>278226</v>
      </c>
      <c r="O17" s="21">
        <v>280269</v>
      </c>
      <c r="P17" s="21">
        <v>283868</v>
      </c>
      <c r="Q17" s="21">
        <v>289146</v>
      </c>
      <c r="R17" s="21">
        <v>299225</v>
      </c>
      <c r="S17" s="21">
        <v>305672</v>
      </c>
      <c r="T17" s="21">
        <v>307064</v>
      </c>
      <c r="U17" s="21">
        <v>312401.0845</v>
      </c>
      <c r="V17" s="21">
        <v>308277.75947612128</v>
      </c>
      <c r="W17" s="24">
        <v>319097.40045342309</v>
      </c>
      <c r="X17" s="95">
        <v>335000.17500316841</v>
      </c>
      <c r="Y17" s="95">
        <v>324860</v>
      </c>
      <c r="Z17" s="95">
        <v>331624</v>
      </c>
      <c r="AA17" s="95">
        <v>340033</v>
      </c>
      <c r="AB17" s="95">
        <v>347617.43624215509</v>
      </c>
      <c r="AC17" s="24">
        <v>375889.78880577523</v>
      </c>
      <c r="AD17" s="24">
        <v>356428.36599944928</v>
      </c>
      <c r="AE17" s="24">
        <v>363665.19514565781</v>
      </c>
      <c r="AF17" s="24">
        <v>373761.95541314723</v>
      </c>
      <c r="AG17" s="24">
        <v>380660.73439418012</v>
      </c>
      <c r="AH17" s="24">
        <v>386550.84929840779</v>
      </c>
      <c r="AI17" s="24">
        <v>392714.55632754858</v>
      </c>
      <c r="AJ17" s="24">
        <v>398843.54985527432</v>
      </c>
      <c r="AK17" s="24">
        <v>405017.82736114488</v>
      </c>
      <c r="AL17" s="24">
        <v>411040.99360111938</v>
      </c>
      <c r="AM17" s="24">
        <v>417426.75576261221</v>
      </c>
      <c r="AN17" s="24">
        <v>425775.29087786452</v>
      </c>
    </row>
    <row r="18" spans="1:40" ht="34.5" customHeight="1" x14ac:dyDescent="0.25">
      <c r="A18" s="20" t="s">
        <v>177</v>
      </c>
      <c r="B18" s="20" t="s">
        <v>128</v>
      </c>
      <c r="C18" s="21">
        <v>558248</v>
      </c>
      <c r="D18" s="21">
        <v>555389</v>
      </c>
      <c r="E18" s="21">
        <v>565745</v>
      </c>
      <c r="F18" s="21">
        <v>569319</v>
      </c>
      <c r="G18" s="21">
        <v>586192</v>
      </c>
      <c r="H18" s="21">
        <v>586167</v>
      </c>
      <c r="I18" s="21">
        <v>611650</v>
      </c>
      <c r="J18" s="21">
        <v>620629</v>
      </c>
      <c r="K18" s="21">
        <v>625791</v>
      </c>
      <c r="L18" s="21">
        <v>635503</v>
      </c>
      <c r="M18" s="21">
        <v>663913</v>
      </c>
      <c r="N18" s="21">
        <v>638746</v>
      </c>
      <c r="O18" s="21">
        <v>666696</v>
      </c>
      <c r="P18" s="21">
        <v>664754</v>
      </c>
      <c r="Q18" s="21">
        <v>682053</v>
      </c>
      <c r="R18" s="21">
        <v>685624</v>
      </c>
      <c r="S18" s="21">
        <v>720087</v>
      </c>
      <c r="T18" s="21">
        <v>739018</v>
      </c>
      <c r="U18" s="21">
        <v>745691</v>
      </c>
      <c r="V18" s="21">
        <v>718694</v>
      </c>
      <c r="W18" s="24">
        <v>713176.76055339049</v>
      </c>
      <c r="X18" s="95">
        <v>727793</v>
      </c>
      <c r="Y18" s="95">
        <v>726862</v>
      </c>
      <c r="Z18" s="95">
        <v>737458</v>
      </c>
      <c r="AA18" s="95">
        <v>733664</v>
      </c>
      <c r="AB18" s="95">
        <v>728896</v>
      </c>
      <c r="AC18" s="95">
        <v>737155</v>
      </c>
      <c r="AD18" s="95">
        <v>731132</v>
      </c>
      <c r="AE18" s="95">
        <v>732688</v>
      </c>
      <c r="AF18" s="95">
        <v>737745</v>
      </c>
      <c r="AG18" s="95">
        <v>741668</v>
      </c>
      <c r="AH18" s="95">
        <v>746071</v>
      </c>
      <c r="AI18" s="95">
        <v>751940</v>
      </c>
      <c r="AJ18" s="95">
        <v>757807</v>
      </c>
      <c r="AK18" s="95">
        <v>763228</v>
      </c>
      <c r="AL18" s="95">
        <v>767234</v>
      </c>
      <c r="AM18" s="95">
        <v>771575</v>
      </c>
      <c r="AN18" s="95">
        <v>775800</v>
      </c>
    </row>
    <row r="19" spans="1:40" ht="35.25" customHeight="1" thickBot="1" x14ac:dyDescent="0.3">
      <c r="A19" s="95" t="s">
        <v>178</v>
      </c>
      <c r="B19" s="95" t="s">
        <v>179</v>
      </c>
      <c r="C19" s="21">
        <v>2886496</v>
      </c>
      <c r="D19" s="21">
        <v>2941669</v>
      </c>
      <c r="E19" s="21">
        <v>2942910</v>
      </c>
      <c r="F19" s="21">
        <v>3073303</v>
      </c>
      <c r="G19" s="21">
        <v>3138436</v>
      </c>
      <c r="H19" s="21">
        <v>3247736</v>
      </c>
      <c r="I19" s="21">
        <v>3351093</v>
      </c>
      <c r="J19" s="21">
        <v>3374942</v>
      </c>
      <c r="K19" s="21">
        <v>3463182</v>
      </c>
      <c r="L19" s="21">
        <v>3518485</v>
      </c>
      <c r="M19" s="21">
        <v>3639044</v>
      </c>
      <c r="N19" s="21">
        <v>3603285</v>
      </c>
      <c r="O19" s="21">
        <v>3745601</v>
      </c>
      <c r="P19" s="21">
        <v>3711667</v>
      </c>
      <c r="Q19" s="21">
        <v>3797438.5</v>
      </c>
      <c r="R19" s="21">
        <v>3900460.8530000001</v>
      </c>
      <c r="S19" s="21">
        <v>3911914</v>
      </c>
      <c r="T19" s="21">
        <v>4012727.6</v>
      </c>
      <c r="U19" s="21">
        <v>3989058.0844999999</v>
      </c>
      <c r="V19" s="21">
        <v>3832179.6820137249</v>
      </c>
      <c r="W19" s="24">
        <v>4016137.474020706</v>
      </c>
      <c r="X19" s="24">
        <v>3981149.0367138102</v>
      </c>
      <c r="Y19" s="24">
        <f t="shared" ref="Y19:AN19" si="1">Y4+Y5+Y6+Y17+Y18</f>
        <v>3955324</v>
      </c>
      <c r="Z19" s="24">
        <f t="shared" si="1"/>
        <v>3977766</v>
      </c>
      <c r="AA19" s="24">
        <f t="shared" si="1"/>
        <v>3973356</v>
      </c>
      <c r="AB19" s="24">
        <f t="shared" si="1"/>
        <v>3968081.5462825862</v>
      </c>
      <c r="AC19" s="97">
        <f t="shared" si="1"/>
        <v>4014058.6624307754</v>
      </c>
      <c r="AD19" s="97">
        <f t="shared" si="1"/>
        <v>4039349.1963064494</v>
      </c>
      <c r="AE19" s="97">
        <f t="shared" si="1"/>
        <v>4100700.0669516576</v>
      </c>
      <c r="AF19" s="97">
        <f t="shared" si="1"/>
        <v>4124843.1554131475</v>
      </c>
      <c r="AG19" s="97">
        <f t="shared" si="1"/>
        <v>4144108.7343941801</v>
      </c>
      <c r="AH19" s="97">
        <f t="shared" si="1"/>
        <v>4159077.7492984082</v>
      </c>
      <c r="AI19" s="97">
        <f t="shared" si="1"/>
        <v>4186324.5563275488</v>
      </c>
      <c r="AJ19" s="97">
        <f t="shared" si="1"/>
        <v>4212126.0498552741</v>
      </c>
      <c r="AK19" s="97">
        <f t="shared" si="1"/>
        <v>4240768.2273611445</v>
      </c>
      <c r="AL19" s="97">
        <f t="shared" si="1"/>
        <v>4266776.7936011199</v>
      </c>
      <c r="AM19" s="97">
        <f t="shared" si="1"/>
        <v>4293873.1557626128</v>
      </c>
      <c r="AN19" s="97">
        <f t="shared" si="1"/>
        <v>4323483.5908778645</v>
      </c>
    </row>
    <row r="20" spans="1:40" x14ac:dyDescent="0.25">
      <c r="A20" s="98" t="s">
        <v>180</v>
      </c>
      <c r="B20" s="99"/>
      <c r="C20" s="99"/>
      <c r="D20" s="99"/>
      <c r="E20" s="99"/>
      <c r="F20" s="99"/>
      <c r="G20" s="99"/>
      <c r="H20" s="99"/>
      <c r="I20" s="99"/>
      <c r="J20" s="99"/>
      <c r="K20" s="99"/>
      <c r="L20" s="99"/>
      <c r="M20" s="99"/>
      <c r="N20" s="99"/>
      <c r="O20" s="99"/>
      <c r="P20" s="99"/>
      <c r="Q20" s="99"/>
      <c r="R20" s="99"/>
      <c r="S20" s="99"/>
      <c r="T20" s="99"/>
      <c r="U20" s="99"/>
      <c r="V20" s="99"/>
      <c r="W20" s="99"/>
      <c r="X20" s="99"/>
      <c r="Y20" s="99"/>
      <c r="Z20" s="99"/>
      <c r="AA20" s="99"/>
      <c r="AB20" s="99"/>
      <c r="AC20" s="26"/>
      <c r="AD20" s="26"/>
      <c r="AE20" s="26"/>
      <c r="AF20" s="26"/>
      <c r="AG20" s="26"/>
      <c r="AH20" s="26"/>
      <c r="AI20" s="26"/>
      <c r="AJ20" s="26"/>
      <c r="AK20" s="26"/>
      <c r="AL20" s="26"/>
      <c r="AM20" s="26"/>
      <c r="AN20" s="26"/>
    </row>
    <row r="21" spans="1:40" x14ac:dyDescent="0.25">
      <c r="A21" s="100" t="s">
        <v>181</v>
      </c>
      <c r="B21" s="101"/>
      <c r="C21" s="100"/>
      <c r="D21" s="100"/>
      <c r="E21" s="100"/>
      <c r="F21" s="100"/>
      <c r="G21" s="100"/>
      <c r="H21" s="100"/>
      <c r="I21" s="100"/>
      <c r="J21" s="100"/>
      <c r="K21" s="100"/>
      <c r="L21" s="100"/>
      <c r="M21" s="100"/>
      <c r="N21" s="101"/>
      <c r="O21" s="100"/>
      <c r="P21" s="100"/>
      <c r="Q21" s="100"/>
      <c r="R21" s="100"/>
      <c r="S21" s="100"/>
      <c r="T21" s="100"/>
      <c r="U21" s="100"/>
      <c r="V21" s="100"/>
      <c r="W21" s="100"/>
      <c r="X21" s="100"/>
      <c r="Y21" s="100"/>
      <c r="Z21" s="100"/>
      <c r="AA21" s="100"/>
      <c r="AB21" s="100"/>
      <c r="AC21" s="26"/>
      <c r="AD21" s="26"/>
      <c r="AE21" s="26"/>
      <c r="AF21" s="26"/>
      <c r="AG21" s="26"/>
      <c r="AH21" s="26"/>
      <c r="AI21" s="26"/>
      <c r="AJ21" s="26"/>
      <c r="AK21" s="26"/>
      <c r="AL21" s="26"/>
      <c r="AM21" s="26"/>
      <c r="AN21" s="26"/>
    </row>
    <row r="22" spans="1:40" x14ac:dyDescent="0.25">
      <c r="A22" s="100" t="s">
        <v>182</v>
      </c>
      <c r="B22" s="101"/>
      <c r="C22" s="100"/>
      <c r="D22" s="100"/>
      <c r="E22" s="100"/>
      <c r="F22" s="100"/>
      <c r="G22" s="100"/>
      <c r="H22" s="100"/>
      <c r="I22" s="100"/>
      <c r="J22" s="100"/>
      <c r="K22" s="100"/>
      <c r="L22" s="100"/>
      <c r="M22" s="100"/>
      <c r="N22" s="101"/>
      <c r="O22" s="100"/>
      <c r="P22" s="100"/>
      <c r="Q22" s="100"/>
      <c r="R22" s="100"/>
      <c r="S22" s="100"/>
      <c r="T22" s="100"/>
      <c r="U22" s="100"/>
      <c r="V22" s="100"/>
      <c r="W22" s="100"/>
      <c r="X22" s="100"/>
      <c r="Y22" s="100"/>
      <c r="Z22" s="100"/>
      <c r="AA22" s="100"/>
      <c r="AB22" s="100"/>
      <c r="AC22" s="26"/>
      <c r="AD22" s="26"/>
      <c r="AE22" s="26"/>
      <c r="AF22" s="26"/>
      <c r="AG22" s="26"/>
      <c r="AH22" s="26"/>
      <c r="AI22" s="26"/>
      <c r="AJ22" s="26"/>
      <c r="AK22" s="26"/>
      <c r="AL22" s="26"/>
      <c r="AM22" s="26"/>
      <c r="AN22" s="26"/>
    </row>
    <row r="23" spans="1:40" x14ac:dyDescent="0.25">
      <c r="A23" s="100" t="s">
        <v>183</v>
      </c>
      <c r="B23" s="101"/>
      <c r="C23" s="100"/>
      <c r="D23" s="100"/>
      <c r="E23" s="100"/>
      <c r="F23" s="100"/>
      <c r="G23" s="100"/>
      <c r="H23" s="100"/>
      <c r="I23" s="100"/>
      <c r="J23" s="100"/>
      <c r="K23" s="100"/>
      <c r="L23" s="100"/>
      <c r="M23" s="100"/>
      <c r="N23" s="101"/>
      <c r="O23" s="100"/>
      <c r="P23" s="100"/>
      <c r="Q23" s="100"/>
      <c r="R23" s="100"/>
      <c r="S23" s="100"/>
      <c r="T23" s="100"/>
      <c r="U23" s="100"/>
      <c r="V23" s="100"/>
      <c r="W23" s="100"/>
      <c r="X23" s="100"/>
      <c r="Y23" s="100"/>
      <c r="Z23" s="100"/>
      <c r="AA23" s="100"/>
      <c r="AB23" s="100"/>
      <c r="AC23" s="26"/>
      <c r="AD23" s="26"/>
      <c r="AE23" s="26"/>
      <c r="AF23" s="26"/>
      <c r="AG23" s="26"/>
      <c r="AH23" s="26"/>
      <c r="AI23" s="26"/>
      <c r="AJ23" s="26"/>
      <c r="AK23" s="26"/>
      <c r="AL23" s="26"/>
      <c r="AM23" s="26"/>
      <c r="AN23" s="26"/>
    </row>
    <row r="24" spans="1:40" x14ac:dyDescent="0.25">
      <c r="A24" s="133" t="s">
        <v>184</v>
      </c>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113"/>
      <c r="AB24" s="113"/>
      <c r="AC24" s="26"/>
      <c r="AD24" s="26"/>
      <c r="AE24" s="26"/>
      <c r="AF24" s="26"/>
      <c r="AG24" s="26"/>
      <c r="AH24" s="26"/>
      <c r="AI24" s="26"/>
      <c r="AJ24" s="26"/>
      <c r="AK24" s="26"/>
      <c r="AL24" s="26"/>
      <c r="AM24" s="26"/>
      <c r="AN24" s="26"/>
    </row>
    <row r="25" spans="1:40" x14ac:dyDescent="0.25">
      <c r="A25" s="128" t="s">
        <v>185</v>
      </c>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26"/>
      <c r="AD25" s="26"/>
      <c r="AE25" s="26"/>
      <c r="AF25" s="26"/>
      <c r="AG25" s="26"/>
      <c r="AH25" s="26"/>
      <c r="AI25" s="26"/>
      <c r="AJ25" s="26"/>
      <c r="AK25" s="26"/>
      <c r="AL25" s="26"/>
      <c r="AM25" s="26"/>
      <c r="AN25" s="26"/>
    </row>
    <row r="26" spans="1:40" x14ac:dyDescent="0.25">
      <c r="A26" s="128" t="s">
        <v>186</v>
      </c>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3"/>
      <c r="AC26" s="26"/>
      <c r="AD26" s="26"/>
      <c r="AE26" s="26"/>
      <c r="AF26" s="26"/>
      <c r="AG26" s="26"/>
      <c r="AH26" s="26"/>
      <c r="AI26" s="26"/>
      <c r="AJ26" s="26"/>
      <c r="AK26" s="26"/>
      <c r="AL26" s="26"/>
      <c r="AM26" s="26"/>
      <c r="AN26" s="26"/>
    </row>
    <row r="27" spans="1:40" x14ac:dyDescent="0.25">
      <c r="A27" s="101" t="s">
        <v>187</v>
      </c>
      <c r="B27" s="101"/>
      <c r="C27" s="100"/>
      <c r="D27" s="100"/>
      <c r="E27" s="100"/>
      <c r="F27" s="100"/>
      <c r="G27" s="100"/>
      <c r="H27" s="100"/>
      <c r="I27" s="100"/>
      <c r="J27" s="100"/>
      <c r="K27" s="100"/>
      <c r="L27" s="100"/>
      <c r="M27" s="100"/>
      <c r="N27" s="100"/>
      <c r="O27" s="100"/>
      <c r="P27" s="100"/>
      <c r="Q27" s="100"/>
      <c r="R27" s="100"/>
      <c r="S27" s="100"/>
      <c r="T27" s="100"/>
      <c r="U27" s="100"/>
      <c r="V27" s="100"/>
      <c r="W27" s="100"/>
      <c r="X27" s="100"/>
      <c r="Y27" s="100"/>
      <c r="Z27" s="100"/>
      <c r="AA27" s="100"/>
      <c r="AB27" s="100"/>
      <c r="AC27" s="26"/>
      <c r="AD27" s="26"/>
      <c r="AE27" s="26"/>
      <c r="AF27" s="26"/>
      <c r="AG27" s="26"/>
      <c r="AH27" s="26"/>
      <c r="AI27" s="26"/>
      <c r="AJ27" s="26"/>
      <c r="AK27" s="26"/>
      <c r="AL27" s="26"/>
      <c r="AM27" s="26"/>
      <c r="AN27" s="26"/>
    </row>
    <row r="28" spans="1:40" x14ac:dyDescent="0.25">
      <c r="A28" s="100" t="s">
        <v>188</v>
      </c>
    </row>
  </sheetData>
  <mergeCells count="6">
    <mergeCell ref="A26:AB26"/>
    <mergeCell ref="C2:AC2"/>
    <mergeCell ref="AD2:AN2"/>
    <mergeCell ref="A4:A16"/>
    <mergeCell ref="A24:AB24"/>
    <mergeCell ref="A25:AB2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62"/>
  <sheetViews>
    <sheetView topLeftCell="A7" workbookViewId="0"/>
  </sheetViews>
  <sheetFormatPr defaultRowHeight="15" x14ac:dyDescent="0.25"/>
  <cols>
    <col min="1" max="1" width="19.7109375" bestFit="1" customWidth="1"/>
    <col min="2" max="2" width="19.7109375" customWidth="1"/>
    <col min="4" max="4" width="10.140625" bestFit="1" customWidth="1"/>
  </cols>
  <sheetData>
    <row r="1" spans="1:5" x14ac:dyDescent="0.25">
      <c r="A1" s="2" t="s">
        <v>189</v>
      </c>
      <c r="B1" s="2"/>
      <c r="C1" s="2"/>
      <c r="D1" s="2"/>
    </row>
    <row r="2" spans="1:5" x14ac:dyDescent="0.25">
      <c r="A2" t="s">
        <v>190</v>
      </c>
      <c r="B2" t="s">
        <v>191</v>
      </c>
      <c r="C2" t="s">
        <v>192</v>
      </c>
      <c r="D2" t="s">
        <v>193</v>
      </c>
    </row>
    <row r="3" spans="1:5" x14ac:dyDescent="0.25">
      <c r="A3" t="s">
        <v>21</v>
      </c>
      <c r="B3" t="s">
        <v>128</v>
      </c>
      <c r="C3" t="str">
        <f t="shared" ref="C3:C8" ca="1" si="0">INDEX(INDIRECT(B3&amp;"!$C$8:$N$8"),1,MATCH(MAX(INDIRECT(B3&amp;"!$C$31:$N$31")),INDIRECT(B3&amp;"!$C$31:$N$31"),0))</f>
        <v>July</v>
      </c>
      <c r="D3" t="str">
        <f t="shared" ref="D3:D8" ca="1" si="1">INDEX(INDIRECT(B3&amp;"!$C$8:$N$8"),1,MATCH(MAX(INDIRECT(B3&amp;"!$M$31:$N$31"),INDIRECT(B3&amp;"!$C$31")),INDIRECT(B3&amp;"!$C$31:$N$31"),0))</f>
        <v>December</v>
      </c>
    </row>
    <row r="4" spans="1:5" x14ac:dyDescent="0.25">
      <c r="A4" t="s">
        <v>176</v>
      </c>
      <c r="B4" t="s">
        <v>146</v>
      </c>
      <c r="C4" t="str">
        <f t="shared" ca="1" si="0"/>
        <v>August</v>
      </c>
      <c r="D4" t="str">
        <f t="shared" ca="1" si="1"/>
        <v>January</v>
      </c>
    </row>
    <row r="5" spans="1:5" x14ac:dyDescent="0.25">
      <c r="A5" t="s">
        <v>148</v>
      </c>
      <c r="B5" t="s">
        <v>148</v>
      </c>
      <c r="C5" t="str">
        <f t="shared" ca="1" si="0"/>
        <v>August</v>
      </c>
      <c r="D5" t="str">
        <f t="shared" ca="1" si="1"/>
        <v>January</v>
      </c>
    </row>
    <row r="6" spans="1:5" x14ac:dyDescent="0.25">
      <c r="A6" t="s">
        <v>151</v>
      </c>
      <c r="B6" t="s">
        <v>151</v>
      </c>
      <c r="C6" t="str">
        <f t="shared" ca="1" si="0"/>
        <v>July</v>
      </c>
      <c r="D6" t="str">
        <f t="shared" ca="1" si="1"/>
        <v>January</v>
      </c>
    </row>
    <row r="7" spans="1:5" x14ac:dyDescent="0.25">
      <c r="A7" t="s">
        <v>36</v>
      </c>
      <c r="B7" t="s">
        <v>154</v>
      </c>
      <c r="C7" t="str">
        <f t="shared" ca="1" si="0"/>
        <v>July</v>
      </c>
      <c r="D7" t="str">
        <f t="shared" ca="1" si="1"/>
        <v>January</v>
      </c>
    </row>
    <row r="8" spans="1:5" x14ac:dyDescent="0.25">
      <c r="A8" t="s">
        <v>47</v>
      </c>
      <c r="B8" t="s">
        <v>154</v>
      </c>
      <c r="C8" t="str">
        <f t="shared" ca="1" si="0"/>
        <v>July</v>
      </c>
      <c r="D8" t="str">
        <f t="shared" ca="1" si="1"/>
        <v>January</v>
      </c>
    </row>
    <row r="12" spans="1:5" x14ac:dyDescent="0.25">
      <c r="A12" s="2" t="s">
        <v>194</v>
      </c>
      <c r="B12" s="2"/>
      <c r="C12" s="2"/>
      <c r="D12" s="2"/>
    </row>
    <row r="13" spans="1:5" x14ac:dyDescent="0.25">
      <c r="A13" t="s">
        <v>190</v>
      </c>
      <c r="B13" t="s">
        <v>195</v>
      </c>
      <c r="C13" t="s">
        <v>192</v>
      </c>
      <c r="D13" t="s">
        <v>193</v>
      </c>
      <c r="E13" t="s">
        <v>196</v>
      </c>
    </row>
    <row r="14" spans="1:5" x14ac:dyDescent="0.25">
      <c r="A14" t="s">
        <v>21</v>
      </c>
      <c r="B14" t="s">
        <v>197</v>
      </c>
      <c r="C14" s="11">
        <f>'CAISO - CF'!C16</f>
        <v>0.39</v>
      </c>
      <c r="D14" s="11">
        <f>'CAISO - CF'!C21</f>
        <v>0</v>
      </c>
      <c r="E14" s="102">
        <f t="shared" ref="E14:E53" si="2">INDEX($B$56:$B$62,MATCH(A14,$A$56:$A$62,0),1)</f>
        <v>214955</v>
      </c>
    </row>
    <row r="15" spans="1:5" x14ac:dyDescent="0.25">
      <c r="A15" t="s">
        <v>176</v>
      </c>
      <c r="B15" t="s">
        <v>197</v>
      </c>
      <c r="C15" s="11">
        <f>'ERCOT - CF'!F36</f>
        <v>0.76320678028475641</v>
      </c>
      <c r="D15" s="11">
        <f>'ERCOT - CF'!F23</f>
        <v>6.8617832470217896E-2</v>
      </c>
      <c r="E15" s="102">
        <f t="shared" si="2"/>
        <v>373761.95541314723</v>
      </c>
    </row>
    <row r="16" spans="1:5" x14ac:dyDescent="0.25">
      <c r="A16" t="s">
        <v>148</v>
      </c>
      <c r="B16" t="s">
        <v>197</v>
      </c>
      <c r="C16" s="11">
        <v>0.5</v>
      </c>
      <c r="D16" s="11"/>
      <c r="E16" s="102">
        <f t="shared" si="2"/>
        <v>730209.6</v>
      </c>
    </row>
    <row r="17" spans="1:5" x14ac:dyDescent="0.25">
      <c r="A17" t="s">
        <v>151</v>
      </c>
      <c r="B17" t="s">
        <v>197</v>
      </c>
      <c r="C17" s="11">
        <v>0.60699999999999998</v>
      </c>
      <c r="D17" s="11"/>
      <c r="E17" s="102">
        <f t="shared" si="2"/>
        <v>259340.6</v>
      </c>
    </row>
    <row r="18" spans="1:5" x14ac:dyDescent="0.25">
      <c r="A18" t="s">
        <v>36</v>
      </c>
      <c r="B18" t="s">
        <v>197</v>
      </c>
      <c r="C18" s="11"/>
      <c r="D18" s="11"/>
      <c r="E18" s="102">
        <f t="shared" si="2"/>
        <v>155848</v>
      </c>
    </row>
    <row r="19" spans="1:5" x14ac:dyDescent="0.25">
      <c r="A19" t="s">
        <v>47</v>
      </c>
      <c r="B19" t="s">
        <v>197</v>
      </c>
      <c r="C19" s="11"/>
      <c r="D19" s="11"/>
      <c r="E19" s="102">
        <f t="shared" si="2"/>
        <v>141514</v>
      </c>
    </row>
    <row r="20" spans="1:5" x14ac:dyDescent="0.25">
      <c r="A20" t="s">
        <v>20</v>
      </c>
      <c r="B20" t="s">
        <v>197</v>
      </c>
      <c r="C20" s="11">
        <v>0.6</v>
      </c>
      <c r="D20" s="11"/>
      <c r="E20" s="102">
        <f t="shared" si="2"/>
        <v>823890</v>
      </c>
    </row>
    <row r="21" spans="1:5" x14ac:dyDescent="0.25">
      <c r="A21" t="s">
        <v>21</v>
      </c>
      <c r="B21" t="s">
        <v>198</v>
      </c>
      <c r="C21" s="11">
        <f>'CAISO - CF'!C32</f>
        <v>0.23</v>
      </c>
      <c r="D21" s="11">
        <f>'CAISO - CF'!C37</f>
        <v>0.13</v>
      </c>
      <c r="E21" s="102">
        <f t="shared" si="2"/>
        <v>214955</v>
      </c>
    </row>
    <row r="22" spans="1:5" x14ac:dyDescent="0.25">
      <c r="A22" t="s">
        <v>176</v>
      </c>
      <c r="B22" t="s">
        <v>198</v>
      </c>
      <c r="C22" s="11">
        <f>SUM(SUMPRODUCT('ERCOT - CF'!C48:C50,'ERCOT - CF'!D48:D50),SUMPRODUCT('ERCOT - CF'!E48:E50,'ERCOT - CF'!F48:F50),SUMPRODUCT('ERCOT - CF'!G48:G50,'ERCOT - CF'!H48:H50))/SUM('ERCOT - CF'!D48:D50,'ERCOT - CF'!F48:F50,'ERCOT - CF'!H48:H50)</f>
        <v>0.26932470571664169</v>
      </c>
      <c r="D22" s="11">
        <f>SUM(SUMPRODUCT('ERCOT - CF'!C7:C9,'ERCOT - CF'!D7:D9),SUMPRODUCT('ERCOT - CF'!E7:E9,'ERCOT - CF'!F7:F9),SUMPRODUCT('ERCOT - CF'!G7:G9,'ERCOT - CF'!H7:H9))/SUM('ERCOT - CF'!D7:D9,'ERCOT - CF'!F7:F9,'ERCOT - CF'!H7:H9)</f>
        <v>0.2707879967132627</v>
      </c>
      <c r="E22" s="102">
        <f t="shared" si="2"/>
        <v>373761.95541314723</v>
      </c>
    </row>
    <row r="23" spans="1:5" x14ac:dyDescent="0.25">
      <c r="A23" t="s">
        <v>148</v>
      </c>
      <c r="B23" t="s">
        <v>198</v>
      </c>
      <c r="C23" s="11">
        <v>0.16600000000000001</v>
      </c>
      <c r="D23" s="11"/>
      <c r="E23" s="102">
        <f t="shared" si="2"/>
        <v>730209.6</v>
      </c>
    </row>
    <row r="24" spans="1:5" x14ac:dyDescent="0.25">
      <c r="A24" t="s">
        <v>151</v>
      </c>
      <c r="B24" t="s">
        <v>198</v>
      </c>
      <c r="C24" s="11">
        <v>0.28000000000000003</v>
      </c>
      <c r="D24" s="11"/>
      <c r="E24" s="102">
        <f t="shared" si="2"/>
        <v>259340.6</v>
      </c>
    </row>
    <row r="25" spans="1:5" x14ac:dyDescent="0.25">
      <c r="A25" t="s">
        <v>36</v>
      </c>
      <c r="B25" t="s">
        <v>198</v>
      </c>
      <c r="C25" s="11">
        <v>0.19</v>
      </c>
      <c r="D25" s="11">
        <v>0.37</v>
      </c>
      <c r="E25" s="102">
        <f t="shared" si="2"/>
        <v>155848</v>
      </c>
    </row>
    <row r="26" spans="1:5" x14ac:dyDescent="0.25">
      <c r="A26" t="s">
        <v>47</v>
      </c>
      <c r="B26" t="s">
        <v>198</v>
      </c>
      <c r="C26" s="11">
        <v>0.15</v>
      </c>
      <c r="D26" s="11">
        <v>0.3</v>
      </c>
      <c r="E26" s="102">
        <f t="shared" si="2"/>
        <v>141514</v>
      </c>
    </row>
    <row r="27" spans="1:5" x14ac:dyDescent="0.25">
      <c r="A27" t="s">
        <v>20</v>
      </c>
      <c r="B27" t="s">
        <v>198</v>
      </c>
      <c r="C27" s="11">
        <v>0.17599999999999999</v>
      </c>
      <c r="D27" s="11"/>
      <c r="E27" s="102">
        <f t="shared" si="2"/>
        <v>823890</v>
      </c>
    </row>
    <row r="28" spans="1:5" x14ac:dyDescent="0.25">
      <c r="A28" t="s">
        <v>21</v>
      </c>
      <c r="B28" t="s">
        <v>199</v>
      </c>
      <c r="C28" s="11">
        <f>'CAISO - CF'!C16</f>
        <v>0.39</v>
      </c>
      <c r="D28" s="11">
        <f>'CAISO - CF'!C21</f>
        <v>0</v>
      </c>
      <c r="E28" s="102">
        <f t="shared" si="2"/>
        <v>214955</v>
      </c>
    </row>
    <row r="29" spans="1:5" x14ac:dyDescent="0.25">
      <c r="A29" t="s">
        <v>176</v>
      </c>
      <c r="B29" t="s">
        <v>199</v>
      </c>
      <c r="C29" s="11"/>
      <c r="D29" s="11"/>
      <c r="E29" s="102">
        <f t="shared" si="2"/>
        <v>373761.95541314723</v>
      </c>
    </row>
    <row r="30" spans="1:5" x14ac:dyDescent="0.25">
      <c r="A30" t="s">
        <v>148</v>
      </c>
      <c r="B30" t="s">
        <v>199</v>
      </c>
      <c r="C30" s="11"/>
      <c r="D30" s="11"/>
      <c r="E30" s="102">
        <f t="shared" si="2"/>
        <v>730209.6</v>
      </c>
    </row>
    <row r="31" spans="1:5" x14ac:dyDescent="0.25">
      <c r="A31" t="s">
        <v>151</v>
      </c>
      <c r="B31" t="s">
        <v>199</v>
      </c>
      <c r="C31" s="11"/>
      <c r="D31" s="11"/>
      <c r="E31" s="102">
        <f t="shared" si="2"/>
        <v>259340.6</v>
      </c>
    </row>
    <row r="32" spans="1:5" x14ac:dyDescent="0.25">
      <c r="A32" t="s">
        <v>36</v>
      </c>
      <c r="B32" t="s">
        <v>199</v>
      </c>
      <c r="C32" s="11"/>
      <c r="D32" s="11"/>
      <c r="E32" s="102">
        <f t="shared" si="2"/>
        <v>155848</v>
      </c>
    </row>
    <row r="33" spans="1:5" x14ac:dyDescent="0.25">
      <c r="A33" t="s">
        <v>47</v>
      </c>
      <c r="B33" t="s">
        <v>199</v>
      </c>
      <c r="C33" s="11"/>
      <c r="D33" s="11"/>
      <c r="E33" s="102">
        <f t="shared" si="2"/>
        <v>141514</v>
      </c>
    </row>
    <row r="34" spans="1:5" x14ac:dyDescent="0.25">
      <c r="A34" t="s">
        <v>21</v>
      </c>
      <c r="B34" t="s">
        <v>200</v>
      </c>
      <c r="C34" s="10">
        <f>'CAISO - CF'!F55</f>
        <v>0.87</v>
      </c>
      <c r="D34" s="10">
        <f>'CAISO - CF'!F60</f>
        <v>0.86</v>
      </c>
      <c r="E34" s="102">
        <f t="shared" si="2"/>
        <v>214955</v>
      </c>
    </row>
    <row r="35" spans="1:5" x14ac:dyDescent="0.25">
      <c r="A35" t="s">
        <v>176</v>
      </c>
      <c r="B35" t="s">
        <v>200</v>
      </c>
      <c r="E35" s="102">
        <f t="shared" si="2"/>
        <v>373761.95541314723</v>
      </c>
    </row>
    <row r="36" spans="1:5" x14ac:dyDescent="0.25">
      <c r="A36" t="s">
        <v>148</v>
      </c>
      <c r="B36" t="s">
        <v>200</v>
      </c>
      <c r="E36" s="102">
        <f t="shared" si="2"/>
        <v>730209.6</v>
      </c>
    </row>
    <row r="37" spans="1:5" x14ac:dyDescent="0.25">
      <c r="A37" t="s">
        <v>151</v>
      </c>
      <c r="B37" t="s">
        <v>200</v>
      </c>
      <c r="E37" s="102">
        <f t="shared" si="2"/>
        <v>259340.6</v>
      </c>
    </row>
    <row r="38" spans="1:5" x14ac:dyDescent="0.25">
      <c r="A38" t="s">
        <v>36</v>
      </c>
      <c r="B38" t="s">
        <v>200</v>
      </c>
      <c r="E38" s="102">
        <f t="shared" si="2"/>
        <v>155848</v>
      </c>
    </row>
    <row r="39" spans="1:5" x14ac:dyDescent="0.25">
      <c r="A39" t="s">
        <v>47</v>
      </c>
      <c r="B39" t="s">
        <v>200</v>
      </c>
      <c r="E39" s="102">
        <f t="shared" si="2"/>
        <v>141514</v>
      </c>
    </row>
    <row r="40" spans="1:5" x14ac:dyDescent="0.25">
      <c r="A40" t="s">
        <v>21</v>
      </c>
      <c r="B40" t="s">
        <v>201</v>
      </c>
      <c r="C40" s="10">
        <f>'CAISO - CF'!F85</f>
        <v>0.84</v>
      </c>
      <c r="D40" s="10">
        <f>'CAISO - CF'!F90</f>
        <v>0.95</v>
      </c>
      <c r="E40" s="102">
        <f t="shared" si="2"/>
        <v>214955</v>
      </c>
    </row>
    <row r="41" spans="1:5" x14ac:dyDescent="0.25">
      <c r="A41" t="s">
        <v>176</v>
      </c>
      <c r="B41" t="s">
        <v>201</v>
      </c>
      <c r="E41" s="102">
        <f t="shared" si="2"/>
        <v>373761.95541314723</v>
      </c>
    </row>
    <row r="42" spans="1:5" x14ac:dyDescent="0.25">
      <c r="A42" t="s">
        <v>148</v>
      </c>
      <c r="B42" t="s">
        <v>201</v>
      </c>
      <c r="E42" s="102">
        <f t="shared" si="2"/>
        <v>730209.6</v>
      </c>
    </row>
    <row r="43" spans="1:5" x14ac:dyDescent="0.25">
      <c r="A43" t="s">
        <v>151</v>
      </c>
      <c r="B43" t="s">
        <v>201</v>
      </c>
      <c r="E43" s="102">
        <f t="shared" si="2"/>
        <v>259340.6</v>
      </c>
    </row>
    <row r="44" spans="1:5" x14ac:dyDescent="0.25">
      <c r="A44" t="s">
        <v>36</v>
      </c>
      <c r="B44" t="s">
        <v>201</v>
      </c>
      <c r="E44" s="102">
        <f t="shared" si="2"/>
        <v>155848</v>
      </c>
    </row>
    <row r="45" spans="1:5" x14ac:dyDescent="0.25">
      <c r="A45" t="s">
        <v>47</v>
      </c>
      <c r="B45" t="s">
        <v>201</v>
      </c>
      <c r="E45" s="102">
        <f t="shared" si="2"/>
        <v>141514</v>
      </c>
    </row>
    <row r="46" spans="1:5" x14ac:dyDescent="0.25">
      <c r="A46" t="s">
        <v>21</v>
      </c>
      <c r="B46" t="s">
        <v>202</v>
      </c>
      <c r="C46" s="10">
        <f>'CAISO - CF'!F101</f>
        <v>0.73</v>
      </c>
      <c r="D46" s="10">
        <f>'CAISO - CF'!F106</f>
        <v>0.64</v>
      </c>
      <c r="E46" s="102">
        <f t="shared" si="2"/>
        <v>214955</v>
      </c>
    </row>
    <row r="47" spans="1:5" x14ac:dyDescent="0.25">
      <c r="A47" t="s">
        <v>176</v>
      </c>
      <c r="B47" t="s">
        <v>202</v>
      </c>
      <c r="E47" s="102">
        <f t="shared" si="2"/>
        <v>373761.95541314723</v>
      </c>
    </row>
    <row r="48" spans="1:5" x14ac:dyDescent="0.25">
      <c r="A48" t="s">
        <v>148</v>
      </c>
      <c r="B48" t="s">
        <v>202</v>
      </c>
      <c r="E48" s="102">
        <f t="shared" si="2"/>
        <v>730209.6</v>
      </c>
    </row>
    <row r="49" spans="1:5" x14ac:dyDescent="0.25">
      <c r="A49" t="s">
        <v>151</v>
      </c>
      <c r="B49" t="s">
        <v>202</v>
      </c>
      <c r="E49" s="102">
        <f t="shared" si="2"/>
        <v>259340.6</v>
      </c>
    </row>
    <row r="50" spans="1:5" x14ac:dyDescent="0.25">
      <c r="A50" t="s">
        <v>36</v>
      </c>
      <c r="B50" t="s">
        <v>202</v>
      </c>
      <c r="E50" s="102">
        <f t="shared" si="2"/>
        <v>155848</v>
      </c>
    </row>
    <row r="51" spans="1:5" x14ac:dyDescent="0.25">
      <c r="A51" t="s">
        <v>47</v>
      </c>
      <c r="B51" t="s">
        <v>202</v>
      </c>
      <c r="E51" s="102">
        <f t="shared" si="2"/>
        <v>141514</v>
      </c>
    </row>
    <row r="52" spans="1:5" x14ac:dyDescent="0.25">
      <c r="A52" t="s">
        <v>36</v>
      </c>
      <c r="B52" t="s">
        <v>203</v>
      </c>
      <c r="C52" s="11">
        <v>0.39</v>
      </c>
      <c r="D52" s="10">
        <v>0.61</v>
      </c>
      <c r="E52" s="102">
        <f t="shared" si="2"/>
        <v>155848</v>
      </c>
    </row>
    <row r="53" spans="1:5" x14ac:dyDescent="0.25">
      <c r="A53" t="s">
        <v>47</v>
      </c>
      <c r="B53" t="s">
        <v>203</v>
      </c>
      <c r="C53" s="11">
        <v>0.24</v>
      </c>
      <c r="D53" s="10">
        <v>0.63</v>
      </c>
      <c r="E53" s="102">
        <f t="shared" si="2"/>
        <v>141514</v>
      </c>
    </row>
    <row r="55" spans="1:5" x14ac:dyDescent="0.25">
      <c r="A55" s="2" t="s">
        <v>204</v>
      </c>
      <c r="B55" s="2"/>
      <c r="C55" s="2"/>
      <c r="D55" s="2"/>
    </row>
    <row r="56" spans="1:5" x14ac:dyDescent="0.25">
      <c r="A56" t="s">
        <v>21</v>
      </c>
      <c r="B56">
        <v>214955</v>
      </c>
      <c r="C56" s="12"/>
    </row>
    <row r="57" spans="1:5" x14ac:dyDescent="0.25">
      <c r="A57" t="s">
        <v>176</v>
      </c>
      <c r="B57" s="102">
        <f>'EIA Form 411'!AF17</f>
        <v>373761.95541314723</v>
      </c>
      <c r="C57" s="12"/>
    </row>
    <row r="58" spans="1:5" x14ac:dyDescent="0.25">
      <c r="A58" t="s">
        <v>148</v>
      </c>
      <c r="B58" s="102">
        <f>'EIA Form 411'!AF11</f>
        <v>730209.6</v>
      </c>
    </row>
    <row r="59" spans="1:5" x14ac:dyDescent="0.25">
      <c r="A59" t="s">
        <v>151</v>
      </c>
      <c r="B59">
        <f>'EIA Form 411'!AF16</f>
        <v>259340.6</v>
      </c>
    </row>
    <row r="60" spans="1:5" x14ac:dyDescent="0.25">
      <c r="A60" t="s">
        <v>36</v>
      </c>
      <c r="B60">
        <v>155848</v>
      </c>
      <c r="C60" s="12"/>
    </row>
    <row r="61" spans="1:5" x14ac:dyDescent="0.25">
      <c r="A61" t="s">
        <v>20</v>
      </c>
      <c r="B61">
        <f>'EIA Form 411'!AF13</f>
        <v>823890</v>
      </c>
      <c r="C61" s="12"/>
    </row>
    <row r="62" spans="1:5" x14ac:dyDescent="0.25">
      <c r="A62" t="s">
        <v>47</v>
      </c>
      <c r="B62">
        <v>141514</v>
      </c>
      <c r="C62" s="1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2060"/>
  </sheetPr>
  <dimension ref="A1:C25"/>
  <sheetViews>
    <sheetView tabSelected="1" workbookViewId="0">
      <selection activeCell="C26" sqref="C26"/>
    </sheetView>
  </sheetViews>
  <sheetFormatPr defaultRowHeight="15" x14ac:dyDescent="0.25"/>
  <cols>
    <col min="1" max="1" width="26.42578125" customWidth="1"/>
    <col min="2" max="3" width="11" customWidth="1"/>
  </cols>
  <sheetData>
    <row r="1" spans="1:3" ht="30" customHeight="1" x14ac:dyDescent="0.25">
      <c r="A1" s="104" t="s">
        <v>205</v>
      </c>
      <c r="B1" s="13" t="s">
        <v>206</v>
      </c>
      <c r="C1" s="105" t="s">
        <v>207</v>
      </c>
    </row>
    <row r="2" spans="1:3" x14ac:dyDescent="0.25">
      <c r="A2" t="s">
        <v>208</v>
      </c>
      <c r="B2" s="4">
        <f>IFERROR(SUMPRODUCT(IF(Calculations!$B$14:$B$53=PTCF!A2,Calculations!$C$14:$C$53),IF(Calculations!$B$14:$B$53=PTCF!A2,Calculations!$E$14:$E$53))/SUMIFS(Calculations!$E$14:$E$53,Calculations!$B$14:$B$53,PTCF!A2,Calculations!$C$14:$C$53,"&lt;&gt;"&amp;""),0.9)</f>
        <v>0.9</v>
      </c>
      <c r="C2" s="4">
        <f>IFERROR(SUMPRODUCT(IF(Calculations!$B$14:$B$53=PTCF!A2,Calculations!$D$14:$D$53),IF(Calculations!$B$14:$B$53=PTCF!A2,Calculations!$E$14:$E$53))/SUMIFS(Calculations!$E$14:$E$53,Calculations!$B$14:$B$53,PTCF!A2,Calculations!$D$14:$D$53,"&lt;&gt;"&amp;""),0.9)</f>
        <v>0.9</v>
      </c>
    </row>
    <row r="3" spans="1:3" x14ac:dyDescent="0.25">
      <c r="A3" t="s">
        <v>209</v>
      </c>
      <c r="B3" s="4">
        <f>IFERROR(SUMPRODUCT(IF(Calculations!$B$14:$B$53=PTCF!A3,Calculations!$C$14:$C$53),IF(Calculations!$B$14:$B$53=PTCF!A3,Calculations!$E$14:$E$53))/SUMIFS(Calculations!$E$14:$E$53,Calculations!$B$14:$B$53,PTCF!A3,Calculations!$C$14:$C$53,"&lt;&gt;"&amp;""),0.9)</f>
        <v>0.9</v>
      </c>
      <c r="C3" s="4">
        <f>IFERROR(SUMPRODUCT(IF(Calculations!$B$14:$B$53=PTCF!A3,Calculations!$D$14:$D$53),IF(Calculations!$B$14:$B$53=PTCF!A3,Calculations!$E$14:$E$53))/SUMIFS(Calculations!$E$14:$E$53,Calculations!$B$14:$B$53,PTCF!A3,Calculations!$D$14:$D$53,"&lt;&gt;"&amp;""),0.9)</f>
        <v>0.9</v>
      </c>
    </row>
    <row r="4" spans="1:3" x14ac:dyDescent="0.25">
      <c r="A4" t="s">
        <v>210</v>
      </c>
      <c r="B4" s="4">
        <f>IFERROR(SUMPRODUCT(IF(Calculations!$B$14:$B$53=PTCF!A4,Calculations!$C$14:$C$53),IF(Calculations!$B$14:$B$53=PTCF!A4,Calculations!$E$14:$E$53))/SUMIFS(Calculations!$E$14:$E$53,Calculations!$B$14:$B$53,PTCF!A4,Calculations!$C$14:$C$53,"&lt;&gt;"&amp;""),0.9)</f>
        <v>0.9</v>
      </c>
      <c r="C4" s="4">
        <f>IFERROR(SUMPRODUCT(IF(Calculations!$B$14:$B$53=PTCF!A4,Calculations!$D$14:$D$53),IF(Calculations!$B$14:$B$53=PTCF!A4,Calculations!$E$14:$E$53))/SUMIFS(Calculations!$E$14:$E$53,Calculations!$B$14:$B$53,PTCF!A4,Calculations!$D$14:$D$53,"&lt;&gt;"&amp;""),0.9)</f>
        <v>0.9</v>
      </c>
    </row>
    <row r="5" spans="1:3" x14ac:dyDescent="0.25">
      <c r="A5" t="s">
        <v>211</v>
      </c>
      <c r="B5" s="4">
        <f>IFERROR(SUMPRODUCT(IF(Calculations!$B$14:$B$53=PTCF!A5,Calculations!$C$14:$C$53),IF(Calculations!$B$14:$B$53=PTCF!A5,Calculations!$E$14:$E$53))/SUMIFS(Calculations!$E$14:$E$53,Calculations!$B$14:$B$53,PTCF!A5,Calculations!$C$14:$C$53,"&lt;&gt;"&amp;""),0.9)</f>
        <v>0.9</v>
      </c>
      <c r="C5" s="4">
        <f>IFERROR(SUMPRODUCT(IF(Calculations!$B$14:$B$53=PTCF!A5,Calculations!$D$14:$D$53),IF(Calculations!$B$14:$B$53=PTCF!A5,Calculations!$E$14:$E$53))/SUMIFS(Calculations!$E$14:$E$53,Calculations!$B$14:$B$53,PTCF!A5,Calculations!$D$14:$D$53,"&lt;&gt;"&amp;""),0.9)</f>
        <v>0.9</v>
      </c>
    </row>
    <row r="6" spans="1:3" x14ac:dyDescent="0.25">
      <c r="A6" t="s">
        <v>202</v>
      </c>
      <c r="B6" s="4">
        <f t="array" ref="B6">IFERROR(SUMPRODUCT(IF(Calculations!$B$14:$B$53=PTCF!A6,Calculations!$C$14:$C$53),IF(Calculations!$B$14:$B$53=PTCF!A6,Calculations!$E$14:$E$53))/SUMIFS(Calculations!$E$14:$E$53,Calculations!$B$14:$B$53,PTCF!A6,Calculations!$C$14:$C$53,"&lt;&gt;"&amp;""),1)</f>
        <v>0.73</v>
      </c>
      <c r="C6" s="4">
        <f t="array" ref="C6">IFERROR(SUMPRODUCT(IF(Calculations!$B$14:$B$53=PTCF!A6,Calculations!$D$14:$D$53),IF(Calculations!$B$14:$B$53=PTCF!A6,Calculations!$E$14:$E$53))/SUMIFS(Calculations!$E$14:$E$53,Calculations!$B$14:$B$53,PTCF!A6,Calculations!$D$14:$D$53,"&lt;&gt;"&amp;""),1)</f>
        <v>0.64</v>
      </c>
    </row>
    <row r="7" spans="1:3" x14ac:dyDescent="0.25">
      <c r="A7" t="s">
        <v>198</v>
      </c>
      <c r="B7" s="4">
        <f t="array" ref="B7">IFERROR(SUMPRODUCT(IF(Calculations!$B$14:$B$53=PTCF!A7,Calculations!$C$14:$C$53),IF(Calculations!$B$14:$B$53=PTCF!A7,Calculations!$E$14:$E$53))/SUMIFS(Calculations!$E$14:$E$53,Calculations!$B$14:$B$53,PTCF!A7,Calculations!$C$14:$C$53,"&lt;&gt;"&amp;""),1)</f>
        <v>0.19995264681391473</v>
      </c>
      <c r="C7" s="4">
        <f t="array" ref="C7">IFERROR(SUMPRODUCT(IF(Calculations!$B$14:$B$53=PTCF!A7,Calculations!$D$14:$D$53),IF(Calculations!$B$14:$B$53=PTCF!A7,Calculations!$E$14:$E$53))/SUMIFS(Calculations!$E$14:$E$53,Calculations!$B$14:$B$53,PTCF!A7,Calculations!$D$14:$D$53,"&lt;&gt;"&amp;""),1)</f>
        <v>0.25874935834251517</v>
      </c>
    </row>
    <row r="8" spans="1:3" x14ac:dyDescent="0.25">
      <c r="A8" t="s">
        <v>197</v>
      </c>
      <c r="B8" s="4">
        <f t="array" ref="B8">IFERROR(SUMPRODUCT(IF(Calculations!$B$14:$B$53=PTCF!A8,Calculations!$C$14:$C$53),IF(Calculations!$B$14:$B$53=PTCF!A8,Calculations!$E$14:$E$53))/SUMIFS(Calculations!$E$14:$E$53,Calculations!$B$14:$B$53,PTCF!A8,Calculations!$C$14:$C$53,"&lt;&gt;"&amp;""),1)</f>
        <v>0.57696002514266531</v>
      </c>
      <c r="C8" s="4">
        <f t="array" ref="C8">IFERROR(SUMPRODUCT(IF(Calculations!$B$14:$B$53=PTCF!A8,Calculations!$D$14:$D$53),IF(Calculations!$B$14:$B$53=PTCF!A8,Calculations!$E$14:$E$53))/SUMIFS(Calculations!$E$14:$E$53,Calculations!$B$14:$B$53,PTCF!A8,Calculations!$D$14:$D$53,"&lt;&gt;"&amp;""),1)</f>
        <v>4.3563778832023163E-2</v>
      </c>
    </row>
    <row r="9" spans="1:3" x14ac:dyDescent="0.25">
      <c r="A9" t="s">
        <v>199</v>
      </c>
      <c r="B9" s="4">
        <f t="array" ref="B9">IFERROR(SUMPRODUCT(IF(Calculations!$B$14:$B$53=PTCF!A9,Calculations!$C$14:$C$53),IF(Calculations!$B$14:$B$53=PTCF!A9,Calculations!$E$14:$E$53))/SUMIFS(Calculations!$E$14:$E$53,Calculations!$B$14:$B$53,PTCF!A9,Calculations!$C$14:$C$53,"&lt;&gt;"&amp;""),1)</f>
        <v>0.39</v>
      </c>
      <c r="C9" s="4">
        <f t="array" ref="C9">IFERROR(SUMPRODUCT(IF(Calculations!$B$14:$B$53=PTCF!A9,Calculations!$D$14:$D$53),IF(Calculations!$B$14:$B$53=PTCF!A9,Calculations!$E$14:$E$53))/SUMIFS(Calculations!$E$14:$E$53,Calculations!$B$14:$B$53,PTCF!A9,Calculations!$D$14:$D$53,"&lt;&gt;"&amp;""),1)</f>
        <v>0</v>
      </c>
    </row>
    <row r="10" spans="1:3" x14ac:dyDescent="0.25">
      <c r="A10" t="s">
        <v>200</v>
      </c>
      <c r="B10" s="4">
        <f t="array" ref="B10">IFERROR(SUMPRODUCT(IF(Calculations!$B$14:$B$53=PTCF!A10,Calculations!$C$14:$C$53),IF(Calculations!$B$14:$B$53=PTCF!A10,Calculations!$E$14:$E$53))/SUMIFS(Calculations!$E$14:$E$53,Calculations!$B$14:$B$53,PTCF!A10,Calculations!$C$14:$C$53,"&lt;&gt;"&amp;""),1)</f>
        <v>0.87</v>
      </c>
      <c r="C10" s="4">
        <f t="array" ref="C10">IFERROR(SUMPRODUCT(IF(Calculations!$B$14:$B$53=PTCF!A10,Calculations!$D$14:$D$53),IF(Calculations!$B$14:$B$53=PTCF!A10,Calculations!$E$14:$E$53))/SUMIFS(Calculations!$E$14:$E$53,Calculations!$B$14:$B$53,PTCF!A10,Calculations!$D$14:$D$53,"&lt;&gt;"&amp;""),1)</f>
        <v>0.86</v>
      </c>
    </row>
    <row r="11" spans="1:3" x14ac:dyDescent="0.25">
      <c r="A11" t="s">
        <v>212</v>
      </c>
      <c r="B11" s="4">
        <f>IFERROR(SUMPRODUCT(IF(Calculations!$B$14:$B$53=PTCF!A11,Calculations!$C$14:$C$53),IF(Calculations!$B$14:$B$53=PTCF!A11,Calculations!$E$14:$E$53))/SUMIFS(Calculations!$E$14:$E$53,Calculations!$B$14:$B$53,PTCF!A11,Calculations!$C$14:$C$53,"&lt;&gt;"&amp;""),0.9)</f>
        <v>0.9</v>
      </c>
      <c r="C11" s="4">
        <f>IFERROR(SUMPRODUCT(IF(Calculations!$B$14:$B$53=PTCF!A11,Calculations!$D$14:$D$53),IF(Calculations!$B$14:$B$53=PTCF!A11,Calculations!$E$14:$E$53))/SUMIFS(Calculations!$E$14:$E$53,Calculations!$B$14:$B$53,PTCF!A11,Calculations!$D$14:$D$53,"&lt;&gt;"&amp;""),0.9)</f>
        <v>0.9</v>
      </c>
    </row>
    <row r="12" spans="1:3" x14ac:dyDescent="0.25">
      <c r="A12" t="s">
        <v>213</v>
      </c>
      <c r="B12" s="4">
        <f>IFERROR(SUMPRODUCT(IF(Calculations!$B$14:$B$53=PTCF!A12,Calculations!$C$14:$C$53),IF(Calculations!$B$14:$B$53=PTCF!A12,Calculations!$E$14:$E$53))/SUMIFS(Calculations!$E$14:$E$53,Calculations!$B$14:$B$53,PTCF!A12,Calculations!$C$14:$C$53,"&lt;&gt;"&amp;""),0.9)</f>
        <v>0.9</v>
      </c>
      <c r="C12" s="4">
        <f>IFERROR(SUMPRODUCT(IF(Calculations!$B$14:$B$53=PTCF!A12,Calculations!$D$14:$D$53),IF(Calculations!$B$14:$B$53=PTCF!A12,Calculations!$E$14:$E$53))/SUMIFS(Calculations!$E$14:$E$53,Calculations!$B$14:$B$53,PTCF!A12,Calculations!$D$14:$D$53,"&lt;&gt;"&amp;""),0.9)</f>
        <v>0.9</v>
      </c>
    </row>
    <row r="13" spans="1:3" x14ac:dyDescent="0.25">
      <c r="A13" t="s">
        <v>214</v>
      </c>
      <c r="B13" s="4">
        <f>IFERROR(SUMPRODUCT(IF(Calculations!$B$14:$B$53=PTCF!A13,Calculations!$C$14:$C$53),IF(Calculations!$B$14:$B$53=PTCF!A13,Calculations!$E$14:$E$53))/SUMIFS(Calculations!$E$14:$E$53,Calculations!$B$14:$B$53,PTCF!A13,Calculations!$C$14:$C$53,"&lt;&gt;"&amp;""),0.9)</f>
        <v>0.9</v>
      </c>
      <c r="C13" s="4">
        <f>IFERROR(SUMPRODUCT(IF(Calculations!$B$14:$B$53=PTCF!A13,Calculations!$D$14:$D$53),IF(Calculations!$B$14:$B$53=PTCF!A13,Calculations!$E$14:$E$53))/SUMIFS(Calculations!$E$14:$E$53,Calculations!$B$14:$B$53,PTCF!A13,Calculations!$D$14:$D$53,"&lt;&gt;"&amp;""),0.9)</f>
        <v>0.9</v>
      </c>
    </row>
    <row r="14" spans="1:3" x14ac:dyDescent="0.25">
      <c r="A14" t="s">
        <v>215</v>
      </c>
      <c r="B14" s="4">
        <f>IFERROR(SUMPRODUCT(IF(Calculations!$B$14:$B$53=PTCF!A14,Calculations!$C$14:$C$53),IF(Calculations!$B$14:$B$53=PTCF!A14,Calculations!$E$14:$E$53))/SUMIFS(Calculations!$E$14:$E$53,Calculations!$B$14:$B$53,PTCF!A14,Calculations!$C$14:$C$53,"&lt;&gt;"&amp;""),0.9)</f>
        <v>0.9</v>
      </c>
      <c r="C14" s="4">
        <f>IFERROR(SUMPRODUCT(IF(Calculations!$B$14:$B$53=PTCF!A14,Calculations!$D$14:$D$53),IF(Calculations!$B$14:$B$53=PTCF!A14,Calculations!$E$14:$E$53))/SUMIFS(Calculations!$E$14:$E$53,Calculations!$B$14:$B$53,PTCF!A14,Calculations!$D$14:$D$53,"&lt;&gt;"&amp;""),0.9)</f>
        <v>0.9</v>
      </c>
    </row>
    <row r="15" spans="1:3" x14ac:dyDescent="0.25">
      <c r="A15" t="s">
        <v>203</v>
      </c>
      <c r="B15" s="4">
        <f t="array" ref="B15">IFERROR(SUMPRODUCT(IF(Calculations!$B$14:$B$53=PTCF!A15,Calculations!$C$14:$C$53),IF(Calculations!$B$14:$B$53=PTCF!A15,Calculations!$E$14:$E$53))/SUMIFS(Calculations!$E$14:$E$53,Calculations!$B$14:$B$53,PTCF!A15,Calculations!$C$14:$C$53,"&lt;&gt;"&amp;""),1)</f>
        <v>0.31861529045405934</v>
      </c>
      <c r="C15" s="4">
        <f t="array" ref="C15">IFERROR(SUMPRODUCT(IF(Calculations!$B$14:$B$53=PTCF!A15,Calculations!$D$14:$D$53),IF(Calculations!$B$14:$B$53=PTCF!A15,Calculations!$E$14:$E$53))/SUMIFS(Calculations!$E$14:$E$53,Calculations!$B$14:$B$53,PTCF!A15,Calculations!$D$14:$D$53,"&lt;&gt;"&amp;""),1)</f>
        <v>0.61951796127279213</v>
      </c>
    </row>
    <row r="16" spans="1:3" x14ac:dyDescent="0.25">
      <c r="A16" t="s">
        <v>216</v>
      </c>
      <c r="B16" s="4">
        <f>IFERROR(SUMPRODUCT(IF(Calculations!$B$14:$B$53=PTCF!A16,Calculations!$C$14:$C$53),IF(Calculations!$B$14:$B$53=PTCF!A16,Calculations!$E$14:$E$53))/SUMIFS(Calculations!$E$14:$E$53,Calculations!$B$14:$B$53,PTCF!A16,Calculations!$C$14:$C$53,"&lt;&gt;"&amp;""),0.9)</f>
        <v>0.9</v>
      </c>
      <c r="C16" s="4">
        <f>IFERROR(SUMPRODUCT(IF(Calculations!$B$14:$B$53=PTCF!A16,Calculations!$D$14:$D$53),IF(Calculations!$B$14:$B$53=PTCF!A16,Calculations!$E$14:$E$53))/SUMIFS(Calculations!$E$14:$E$53,Calculations!$B$14:$B$53,PTCF!A16,Calculations!$D$14:$D$53,"&lt;&gt;"&amp;""),0.9)</f>
        <v>0.9</v>
      </c>
    </row>
    <row r="17" spans="1:3" x14ac:dyDescent="0.25">
      <c r="A17" t="s">
        <v>217</v>
      </c>
      <c r="B17" s="4">
        <f>IFERROR(SUMPRODUCT(IF(Calculations!$B$14:$B$53=PTCF!A17,Calculations!$C$14:$C$53),IF(Calculations!$B$14:$B$53=PTCF!A17,Calculations!$E$14:$E$53))/SUMIFS(Calculations!$E$14:$E$53,Calculations!$B$14:$B$53,PTCF!A17,Calculations!$C$14:$C$53,"&lt;&gt;"&amp;""),0.9)</f>
        <v>0.9</v>
      </c>
      <c r="C17" s="4">
        <f>IFERROR(SUMPRODUCT(IF(Calculations!$B$14:$B$53=PTCF!A17,Calculations!$D$14:$D$53),IF(Calculations!$B$14:$B$53=PTCF!A17,Calculations!$E$14:$E$53))/SUMIFS(Calculations!$E$14:$E$53,Calculations!$B$14:$B$53,PTCF!A17,Calculations!$D$14:$D$53,"&lt;&gt;"&amp;""),0.9)</f>
        <v>0.9</v>
      </c>
    </row>
    <row r="18" spans="1:3" x14ac:dyDescent="0.25">
      <c r="A18" t="s">
        <v>218</v>
      </c>
      <c r="B18" s="4">
        <f>IFERROR(SUMPRODUCT(IF(Calculations!$B$14:$B$53=PTCF!A18,Calculations!$C$14:$C$53),IF(Calculations!$B$14:$B$53=PTCF!A18,Calculations!$E$14:$E$53))/SUMIFS(Calculations!$E$14:$E$53,Calculations!$B$14:$B$53,PTCF!A18,Calculations!$C$14:$C$53,"&lt;&gt;"&amp;""),0.9)</f>
        <v>0.9</v>
      </c>
      <c r="C18" s="4">
        <f>IFERROR(SUMPRODUCT(IF(Calculations!$B$14:$B$53=PTCF!A18,Calculations!$D$14:$D$53),IF(Calculations!$B$14:$B$53=PTCF!A18,Calculations!$E$14:$E$53))/SUMIFS(Calculations!$E$14:$E$53,Calculations!$B$14:$B$53,PTCF!A18,Calculations!$D$14:$D$53,"&lt;&gt;"&amp;""),0.9)</f>
        <v>0.9</v>
      </c>
    </row>
    <row r="19" spans="1:3" x14ac:dyDescent="0.25">
      <c r="A19" t="s">
        <v>219</v>
      </c>
      <c r="B19" s="106">
        <f t="shared" ref="B19:C24" si="0">$B$18</f>
        <v>0.9</v>
      </c>
      <c r="C19" s="106">
        <f t="shared" si="0"/>
        <v>0.9</v>
      </c>
    </row>
    <row r="20" spans="1:3" x14ac:dyDescent="0.25">
      <c r="A20" t="s">
        <v>220</v>
      </c>
      <c r="B20" s="106">
        <f t="shared" si="0"/>
        <v>0.9</v>
      </c>
      <c r="C20" s="106">
        <f t="shared" si="0"/>
        <v>0.9</v>
      </c>
    </row>
    <row r="21" spans="1:3" x14ac:dyDescent="0.25">
      <c r="A21" t="s">
        <v>221</v>
      </c>
      <c r="B21" s="106">
        <f t="shared" si="0"/>
        <v>0.9</v>
      </c>
      <c r="C21" s="106">
        <f t="shared" si="0"/>
        <v>0.9</v>
      </c>
    </row>
    <row r="22" spans="1:3" x14ac:dyDescent="0.25">
      <c r="A22" t="s">
        <v>222</v>
      </c>
      <c r="B22" s="106">
        <f t="shared" si="0"/>
        <v>0.9</v>
      </c>
      <c r="C22" s="106">
        <f t="shared" si="0"/>
        <v>0.9</v>
      </c>
    </row>
    <row r="23" spans="1:3" x14ac:dyDescent="0.25">
      <c r="A23" t="s">
        <v>223</v>
      </c>
      <c r="B23" s="106">
        <f t="shared" si="0"/>
        <v>0.9</v>
      </c>
      <c r="C23" s="106">
        <f t="shared" si="0"/>
        <v>0.9</v>
      </c>
    </row>
    <row r="24" spans="1:3" x14ac:dyDescent="0.25">
      <c r="A24" s="107" t="s">
        <v>224</v>
      </c>
      <c r="B24" s="106">
        <f t="shared" si="0"/>
        <v>0.9</v>
      </c>
      <c r="C24" s="106">
        <f t="shared" si="0"/>
        <v>0.9</v>
      </c>
    </row>
    <row r="25" spans="1:3" x14ac:dyDescent="0.25">
      <c r="A25" s="107" t="s">
        <v>225</v>
      </c>
      <c r="B25">
        <v>0.9</v>
      </c>
      <c r="C25">
        <v>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CAISO - CF</vt:lpstr>
      <vt:lpstr>ERCOT - CF</vt:lpstr>
      <vt:lpstr>WECC</vt:lpstr>
      <vt:lpstr>TRE</vt:lpstr>
      <vt:lpstr>MISO</vt:lpstr>
      <vt:lpstr>SPP</vt:lpstr>
      <vt:lpstr>PJM</vt:lpstr>
      <vt:lpstr>NPCC</vt:lpstr>
      <vt:lpstr>EIA Form 411</vt:lpstr>
      <vt:lpstr>Calculations</vt:lpstr>
      <vt:lpstr>PTCF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dc:creator>
  <cp:lastModifiedBy>Olivia Ashmoore</cp:lastModifiedBy>
  <dcterms:created xsi:type="dcterms:W3CDTF">2016-03-03T23:11:17Z</dcterms:created>
  <dcterms:modified xsi:type="dcterms:W3CDTF">2023-09-26T22:09:16Z</dcterms:modified>
</cp:coreProperties>
</file>
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WY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3461</v>
      </c>
      <c r="C4" t="inlineStr">
        <is>
          <t>Cheyenne Light Fuel &amp; Power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WY</t>
        </is>
      </c>
      <c r="H4" t="inlineStr">
        <is>
          <t>Investor Owned</t>
        </is>
      </c>
      <c r="I4" t="inlineStr">
        <is>
          <t>WACM</t>
        </is>
      </c>
      <c r="J4" t="n">
        <v>47383</v>
      </c>
      <c r="K4" t="n">
        <v>279321</v>
      </c>
      <c r="L4" t="n">
        <v>39954</v>
      </c>
      <c r="M4" t="n">
        <v>155800</v>
      </c>
      <c r="N4" t="n">
        <v>1742799</v>
      </c>
      <c r="O4" t="n">
        <v>5434</v>
      </c>
      <c r="P4" t="n">
        <v>14609.2</v>
      </c>
      <c r="Q4" t="n">
        <v>168031</v>
      </c>
      <c r="R4" t="n">
        <v>2</v>
      </c>
      <c r="S4" t="n">
        <v>0</v>
      </c>
      <c r="T4" t="n">
        <v>0</v>
      </c>
      <c r="U4" t="n">
        <v>0</v>
      </c>
      <c r="V4" t="n">
        <v>217792.2</v>
      </c>
      <c r="W4" t="n">
        <v>2190151</v>
      </c>
      <c r="X4" t="n">
        <v>45390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6169</v>
      </c>
      <c r="C5" t="inlineStr">
        <is>
          <t>Fall River Rural Elec Coop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WY</t>
        </is>
      </c>
      <c r="H5" t="inlineStr">
        <is>
          <t>Cooperative</t>
        </is>
      </c>
      <c r="I5" t="inlineStr">
        <is>
          <t>BPAT</t>
        </is>
      </c>
      <c r="J5" t="n">
        <v>931</v>
      </c>
      <c r="K5" t="n">
        <v>9330</v>
      </c>
      <c r="L5" t="n">
        <v>341</v>
      </c>
      <c r="M5" t="n">
        <v>592</v>
      </c>
      <c r="N5" t="n">
        <v>7134</v>
      </c>
      <c r="O5" t="n">
        <v>67</v>
      </c>
      <c r="P5" t="inlineStr">
        <is>
          <t>.</t>
        </is>
      </c>
      <c r="Q5" t="inlineStr">
        <is>
          <t>.</t>
        </is>
      </c>
      <c r="R5" t="inlineStr">
        <is>
          <t>.</t>
        </is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1523</v>
      </c>
      <c r="W5" t="n">
        <v>16464</v>
      </c>
      <c r="X5" t="n">
        <v>408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7222</v>
      </c>
      <c r="C6" t="inlineStr">
        <is>
          <t>City of Gillette - (WY)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WY</t>
        </is>
      </c>
      <c r="H6" t="inlineStr">
        <is>
          <t>Municipal</t>
        </is>
      </c>
      <c r="I6" t="inlineStr">
        <is>
          <t>WAUW</t>
        </is>
      </c>
      <c r="J6" t="n">
        <v>18747</v>
      </c>
      <c r="K6" t="n">
        <v>148545</v>
      </c>
      <c r="L6" t="n">
        <v>13990</v>
      </c>
      <c r="M6" t="n">
        <v>18707</v>
      </c>
      <c r="N6" t="n">
        <v>189837</v>
      </c>
      <c r="O6" t="n">
        <v>2739</v>
      </c>
      <c r="P6" t="inlineStr">
        <is>
          <t>.</t>
        </is>
      </c>
      <c r="Q6" t="inlineStr">
        <is>
          <t>.</t>
        </is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37454</v>
      </c>
      <c r="W6" t="n">
        <v>338382</v>
      </c>
      <c r="X6" t="n">
        <v>16729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8566</v>
      </c>
      <c r="C7" t="inlineStr">
        <is>
          <t>High Plains Power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WY</t>
        </is>
      </c>
      <c r="H7" t="inlineStr">
        <is>
          <t>Cooperative</t>
        </is>
      </c>
      <c r="I7" t="inlineStr">
        <is>
          <t>WACM</t>
        </is>
      </c>
      <c r="J7" t="n">
        <v>19979</v>
      </c>
      <c r="K7" t="n">
        <v>145725</v>
      </c>
      <c r="L7" t="n">
        <v>12767</v>
      </c>
      <c r="M7" t="n">
        <v>4521</v>
      </c>
      <c r="N7" t="n">
        <v>41551</v>
      </c>
      <c r="O7" t="n">
        <v>409</v>
      </c>
      <c r="P7" t="n">
        <v>56291</v>
      </c>
      <c r="Q7" t="n">
        <v>688988</v>
      </c>
      <c r="R7" t="n">
        <v>752</v>
      </c>
      <c r="S7" t="n">
        <v>0</v>
      </c>
      <c r="T7" t="n">
        <v>0</v>
      </c>
      <c r="U7" t="n">
        <v>0</v>
      </c>
      <c r="V7" t="n">
        <v>80791</v>
      </c>
      <c r="W7" t="n">
        <v>876264</v>
      </c>
      <c r="X7" t="n">
        <v>13928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11273</v>
      </c>
      <c r="C8" t="inlineStr">
        <is>
          <t>Lower Valley Energy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WY</t>
        </is>
      </c>
      <c r="H8" t="inlineStr">
        <is>
          <t>Cooperative</t>
        </is>
      </c>
      <c r="I8" t="inlineStr">
        <is>
          <t>BPAT</t>
        </is>
      </c>
      <c r="J8" t="n">
        <v>35469</v>
      </c>
      <c r="K8" t="n">
        <v>550459</v>
      </c>
      <c r="L8" t="n">
        <v>22827</v>
      </c>
      <c r="M8" t="n">
        <v>17218</v>
      </c>
      <c r="N8" t="n">
        <v>272075</v>
      </c>
      <c r="O8" t="n">
        <v>6028</v>
      </c>
      <c r="P8" t="n">
        <v>1725</v>
      </c>
      <c r="Q8" t="n">
        <v>32626</v>
      </c>
      <c r="R8" t="n">
        <v>246</v>
      </c>
      <c r="S8" t="n">
        <v>0</v>
      </c>
      <c r="T8" t="n">
        <v>0</v>
      </c>
      <c r="U8" t="n">
        <v>0</v>
      </c>
      <c r="V8" t="n">
        <v>54412</v>
      </c>
      <c r="W8" t="n">
        <v>855160</v>
      </c>
      <c r="X8" t="n">
        <v>29101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12199</v>
      </c>
      <c r="C9" t="inlineStr">
        <is>
          <t>Montana-Dakota Utilities Co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WY</t>
        </is>
      </c>
      <c r="H9" t="inlineStr">
        <is>
          <t>Investor Owned</t>
        </is>
      </c>
      <c r="I9" t="inlineStr">
        <is>
          <t>WACM</t>
        </is>
      </c>
      <c r="J9" t="n">
        <v>17631</v>
      </c>
      <c r="K9" t="n">
        <v>149770</v>
      </c>
      <c r="L9" t="n">
        <v>14706</v>
      </c>
      <c r="M9" t="n">
        <v>12888</v>
      </c>
      <c r="N9" t="n">
        <v>142155</v>
      </c>
      <c r="O9" t="n">
        <v>2804</v>
      </c>
      <c r="P9" t="n">
        <v>184</v>
      </c>
      <c r="Q9" t="n">
        <v>1799</v>
      </c>
      <c r="R9" t="n">
        <v>14</v>
      </c>
      <c r="S9" t="n">
        <v>0</v>
      </c>
      <c r="T9" t="n">
        <v>0</v>
      </c>
      <c r="U9" t="n">
        <v>0</v>
      </c>
      <c r="V9" t="n">
        <v>30703</v>
      </c>
      <c r="W9" t="n">
        <v>293724</v>
      </c>
      <c r="X9" t="n">
        <v>17524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12825</v>
      </c>
      <c r="C10" t="inlineStr">
        <is>
          <t>NorthWestern Energy LLC - (MT)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WY</t>
        </is>
      </c>
      <c r="H10" t="inlineStr">
        <is>
          <t>Investor Owned</t>
        </is>
      </c>
      <c r="I10" t="inlineStr">
        <is>
          <t>NWMT</t>
        </is>
      </c>
      <c r="J10" t="n">
        <v>331</v>
      </c>
      <c r="K10" t="n">
        <v>2580</v>
      </c>
      <c r="L10" t="n">
        <v>294</v>
      </c>
      <c r="M10" t="n">
        <v>5533</v>
      </c>
      <c r="N10" t="n">
        <v>28331</v>
      </c>
      <c r="O10" t="n">
        <v>389</v>
      </c>
      <c r="P10" t="inlineStr">
        <is>
          <t>.</t>
        </is>
      </c>
      <c r="Q10" t="inlineStr">
        <is>
          <t>.</t>
        </is>
      </c>
      <c r="R10" t="inlineStr">
        <is>
          <t>.</t>
        </is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5864</v>
      </c>
      <c r="W10" t="n">
        <v>30911</v>
      </c>
      <c r="X10" t="n">
        <v>683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14354</v>
      </c>
      <c r="C11" t="inlineStr">
        <is>
          <t>PacifiCorp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WY</t>
        </is>
      </c>
      <c r="H11" t="inlineStr">
        <is>
          <t>Investor Owned</t>
        </is>
      </c>
      <c r="I11" t="inlineStr">
        <is>
          <t>PACE</t>
        </is>
      </c>
      <c r="J11" t="n">
        <v>140847.5</v>
      </c>
      <c r="K11" t="n">
        <v>1047681</v>
      </c>
      <c r="L11" t="n">
        <v>118130</v>
      </c>
      <c r="M11" t="n">
        <v>149710.3</v>
      </c>
      <c r="N11" t="n">
        <v>1422012</v>
      </c>
      <c r="O11" t="n">
        <v>23947</v>
      </c>
      <c r="P11" t="n">
        <v>485288.9</v>
      </c>
      <c r="Q11" t="n">
        <v>6289091</v>
      </c>
      <c r="R11" t="n">
        <v>2688</v>
      </c>
      <c r="S11" t="n">
        <v>0</v>
      </c>
      <c r="T11" t="n">
        <v>0</v>
      </c>
      <c r="U11" t="n">
        <v>0</v>
      </c>
      <c r="V11" t="n">
        <v>775846.7</v>
      </c>
      <c r="W11" t="n">
        <v>8758784</v>
      </c>
      <c r="X11" t="n">
        <v>144765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19156</v>
      </c>
      <c r="C12" t="inlineStr">
        <is>
          <t>Powder River Energy Corp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WY</t>
        </is>
      </c>
      <c r="H12" t="inlineStr">
        <is>
          <t>Cooperative</t>
        </is>
      </c>
      <c r="I12" t="inlineStr">
        <is>
          <t>WACM</t>
        </is>
      </c>
      <c r="J12" t="n">
        <v>24668.1</v>
      </c>
      <c r="K12" t="n">
        <v>210375</v>
      </c>
      <c r="L12" t="n">
        <v>15406</v>
      </c>
      <c r="M12" t="n">
        <v>64110.9</v>
      </c>
      <c r="N12" t="n">
        <v>716160</v>
      </c>
      <c r="O12" t="n">
        <v>7365</v>
      </c>
      <c r="P12" t="n">
        <v>68804.8</v>
      </c>
      <c r="Q12" t="n">
        <v>957873</v>
      </c>
      <c r="R12" t="n">
        <v>3950</v>
      </c>
      <c r="S12" t="n">
        <v>0</v>
      </c>
      <c r="T12" t="n">
        <v>0</v>
      </c>
      <c r="U12" t="n">
        <v>0</v>
      </c>
      <c r="V12" t="n">
        <v>157583.8</v>
      </c>
      <c r="W12" t="n">
        <v>1884408</v>
      </c>
      <c r="X12" t="n">
        <v>26721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19545</v>
      </c>
      <c r="C13" t="inlineStr">
        <is>
          <t>Black Hills Power, Inc.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WY</t>
        </is>
      </c>
      <c r="H13" t="inlineStr">
        <is>
          <t>Investor Owned</t>
        </is>
      </c>
      <c r="I13" t="inlineStr">
        <is>
          <t>WACM</t>
        </is>
      </c>
      <c r="J13" t="n">
        <v>2604.2</v>
      </c>
      <c r="K13" t="n">
        <v>19839</v>
      </c>
      <c r="L13" t="n">
        <v>2018</v>
      </c>
      <c r="M13" t="n">
        <v>5222</v>
      </c>
      <c r="N13" t="n">
        <v>42058</v>
      </c>
      <c r="O13" t="n">
        <v>609</v>
      </c>
      <c r="P13" t="n">
        <v>10528.1</v>
      </c>
      <c r="Q13" t="n">
        <v>115609</v>
      </c>
      <c r="R13" t="n">
        <v>10</v>
      </c>
      <c r="S13" t="n">
        <v>0</v>
      </c>
      <c r="T13" t="n">
        <v>0</v>
      </c>
      <c r="U13" t="n">
        <v>0</v>
      </c>
      <c r="V13" t="n">
        <v>18354.3</v>
      </c>
      <c r="W13" t="n">
        <v>177506</v>
      </c>
      <c r="X13" t="n">
        <v>2637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21081</v>
      </c>
      <c r="C14" t="inlineStr">
        <is>
          <t>Yampa Valley Electric Assn Inc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WY</t>
        </is>
      </c>
      <c r="H14" t="inlineStr">
        <is>
          <t>Cooperative</t>
        </is>
      </c>
      <c r="I14" t="inlineStr">
        <is>
          <t>PSCO</t>
        </is>
      </c>
      <c r="J14" t="n">
        <v>968.4</v>
      </c>
      <c r="K14" t="n">
        <v>5534</v>
      </c>
      <c r="L14" t="n">
        <v>569</v>
      </c>
      <c r="M14" t="n">
        <v>578.9</v>
      </c>
      <c r="N14" t="n">
        <v>4138</v>
      </c>
      <c r="O14" t="n">
        <v>189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1547.3</v>
      </c>
      <c r="W14" t="n">
        <v>9672</v>
      </c>
      <c r="X14" t="n">
        <v>758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27000</v>
      </c>
      <c r="C15" t="inlineStr">
        <is>
          <t>WAPA-- Western Area Power Administration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WY</t>
        </is>
      </c>
      <c r="H15" t="inlineStr">
        <is>
          <t>Federal</t>
        </is>
      </c>
      <c r="I15" t="inlineStr">
        <is>
          <t>WACM</t>
        </is>
      </c>
      <c r="J15" t="n">
        <v>0</v>
      </c>
      <c r="K15" t="n">
        <v>0</v>
      </c>
      <c r="L15" t="n">
        <v>0</v>
      </c>
      <c r="M15" t="n">
        <v>1220.7</v>
      </c>
      <c r="N15" t="n">
        <v>32721</v>
      </c>
      <c r="O15" t="n">
        <v>2</v>
      </c>
      <c r="P15" t="n">
        <v>29.6</v>
      </c>
      <c r="Q15" t="n">
        <v>9671</v>
      </c>
      <c r="R15" t="n">
        <v>3</v>
      </c>
      <c r="S15" t="n">
        <v>0</v>
      </c>
      <c r="T15" t="n">
        <v>0</v>
      </c>
      <c r="U15" t="n">
        <v>0</v>
      </c>
      <c r="V15" t="n">
        <v>1250.3</v>
      </c>
      <c r="W15" t="n">
        <v>42392</v>
      </c>
      <c r="X15" t="n">
        <v>5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27058</v>
      </c>
      <c r="C16" t="inlineStr">
        <is>
          <t>High West Energy,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WY</t>
        </is>
      </c>
      <c r="H16" t="inlineStr">
        <is>
          <t>Cooperative</t>
        </is>
      </c>
      <c r="I16" t="inlineStr">
        <is>
          <t>WACM</t>
        </is>
      </c>
      <c r="J16" t="n">
        <v>9781.700000000001</v>
      </c>
      <c r="K16" t="n">
        <v>68049</v>
      </c>
      <c r="L16" t="n">
        <v>5579</v>
      </c>
      <c r="M16" t="n">
        <v>16004.7</v>
      </c>
      <c r="N16" t="n">
        <v>327640</v>
      </c>
      <c r="O16" t="n">
        <v>22</v>
      </c>
      <c r="P16" t="n">
        <v>20705.2</v>
      </c>
      <c r="Q16" t="n">
        <v>197290</v>
      </c>
      <c r="R16" t="n">
        <v>1357</v>
      </c>
      <c r="S16" t="n">
        <v>0</v>
      </c>
      <c r="T16" t="n">
        <v>0</v>
      </c>
      <c r="U16" t="n">
        <v>0</v>
      </c>
      <c r="V16" t="n">
        <v>46491.6</v>
      </c>
      <c r="W16" t="n">
        <v>592979</v>
      </c>
      <c r="X16" t="n">
        <v>6958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99999</v>
      </c>
      <c r="C17" t="inlineStr">
        <is>
          <t>Adjustment 2024</t>
        </is>
      </c>
      <c r="D17" t="inlineStr">
        <is>
          <t>A</t>
        </is>
      </c>
      <c r="E17" t="inlineStr">
        <is>
          <t>Bundled</t>
        </is>
      </c>
      <c r="F17" t="inlineStr">
        <is>
          <t>I</t>
        </is>
      </c>
      <c r="G17" t="inlineStr">
        <is>
          <t>WY</t>
        </is>
      </c>
      <c r="H17" t="inlineStr"/>
      <c r="I17" t="inlineStr">
        <is>
          <t>NWMT</t>
        </is>
      </c>
      <c r="J17" t="n">
        <v>1178.8</v>
      </c>
      <c r="K17" t="n">
        <v>8658</v>
      </c>
      <c r="L17" t="n">
        <v>739</v>
      </c>
      <c r="M17" t="n">
        <v>407.7</v>
      </c>
      <c r="N17" t="n">
        <v>3449</v>
      </c>
      <c r="O17" t="n">
        <v>120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1586.5</v>
      </c>
      <c r="W17" t="n">
        <v>12107</v>
      </c>
      <c r="X17" t="n">
        <v>859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99999</v>
      </c>
      <c r="C18" t="inlineStr">
        <is>
          <t>Adjustment 2024</t>
        </is>
      </c>
      <c r="D18" t="inlineStr">
        <is>
          <t>A</t>
        </is>
      </c>
      <c r="E18" t="inlineStr">
        <is>
          <t>Bundled</t>
        </is>
      </c>
      <c r="F18" t="inlineStr">
        <is>
          <t>I</t>
        </is>
      </c>
      <c r="G18" t="inlineStr">
        <is>
          <t>WY</t>
        </is>
      </c>
      <c r="H18" t="inlineStr"/>
      <c r="I18" t="inlineStr">
        <is>
          <t>PACE</t>
        </is>
      </c>
      <c r="J18" t="n">
        <v>1199.4</v>
      </c>
      <c r="K18" t="n">
        <v>6753</v>
      </c>
      <c r="L18" t="n">
        <v>814</v>
      </c>
      <c r="M18" t="n">
        <v>394.9</v>
      </c>
      <c r="N18" t="n">
        <v>2467</v>
      </c>
      <c r="O18" t="n">
        <v>133</v>
      </c>
      <c r="P18" t="n">
        <v>588.4</v>
      </c>
      <c r="Q18" t="n">
        <v>3968</v>
      </c>
      <c r="R18" t="n">
        <v>9</v>
      </c>
      <c r="S18" t="n">
        <v>0</v>
      </c>
      <c r="T18" t="n">
        <v>0</v>
      </c>
      <c r="U18" t="n">
        <v>0</v>
      </c>
      <c r="V18" t="n">
        <v>2182.7</v>
      </c>
      <c r="W18" t="n">
        <v>13188</v>
      </c>
      <c r="X18" t="n">
        <v>956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99999</v>
      </c>
      <c r="C19" t="inlineStr">
        <is>
          <t>Adjustment 2024</t>
        </is>
      </c>
      <c r="D19" t="inlineStr">
        <is>
          <t>A</t>
        </is>
      </c>
      <c r="E19" t="inlineStr">
        <is>
          <t>Bundled</t>
        </is>
      </c>
      <c r="F19" t="inlineStr">
        <is>
          <t>I</t>
        </is>
      </c>
      <c r="G19" t="inlineStr">
        <is>
          <t>WY</t>
        </is>
      </c>
      <c r="H19" t="inlineStr"/>
      <c r="I19" t="inlineStr">
        <is>
          <t>WAUW</t>
        </is>
      </c>
      <c r="J19" t="n">
        <v>21.8</v>
      </c>
      <c r="K19" t="n">
        <v>185</v>
      </c>
      <c r="L19" t="n">
        <v>12</v>
      </c>
      <c r="M19" t="n">
        <v>11.2</v>
      </c>
      <c r="N19" t="n">
        <v>119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</v>
      </c>
      <c r="W19" t="n">
        <v>304</v>
      </c>
      <c r="X19" t="n">
        <v>14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99999</v>
      </c>
      <c r="C20" t="inlineStr">
        <is>
          <t>Adjustment 2024</t>
        </is>
      </c>
      <c r="D20" t="inlineStr">
        <is>
          <t>A</t>
        </is>
      </c>
      <c r="E20" t="inlineStr">
        <is>
          <t>Bundled</t>
        </is>
      </c>
      <c r="F20" t="inlineStr">
        <is>
          <t>I</t>
        </is>
      </c>
      <c r="G20" t="inlineStr">
        <is>
          <t>WY</t>
        </is>
      </c>
      <c r="H20" t="inlineStr"/>
      <c r="I20" t="inlineStr">
        <is>
          <t>WACM</t>
        </is>
      </c>
      <c r="J20" t="n">
        <v>48313.4</v>
      </c>
      <c r="K20" t="n">
        <v>315247</v>
      </c>
      <c r="L20" t="n">
        <v>38329</v>
      </c>
      <c r="M20" t="n">
        <v>36128.1</v>
      </c>
      <c r="N20" t="n">
        <v>300006</v>
      </c>
      <c r="O20" t="n">
        <v>8724</v>
      </c>
      <c r="P20" t="n">
        <v>55329</v>
      </c>
      <c r="Q20" t="n">
        <v>509252</v>
      </c>
      <c r="R20" t="n">
        <v>2964</v>
      </c>
      <c r="S20" t="n">
        <v>0</v>
      </c>
      <c r="T20" t="n">
        <v>0</v>
      </c>
      <c r="U20" t="n">
        <v>0</v>
      </c>
      <c r="V20" t="n">
        <v>139770.5</v>
      </c>
      <c r="W20" t="n">
        <v>1124505</v>
      </c>
      <c r="X20" t="n">
        <v>50017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WY</t>
        </is>
      </c>
      <c r="B2">
        <f>SUMIFS('EIA-861 Sales 2024'!$Y$4:$Y$20,'EIA-861 Sales 2024'!$Z$4:$Z$20,"cost_service")</f>
        <v/>
      </c>
      <c r="C2">
        <f>SUMIFS('EIA-861 Sales 2024'!$Y$4:$Y$20,'EIA-861 Sales 2024'!$Z$4:$Z$20,"procurement")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2026-06-02T20:15:33Z</dcterms:created>
  <dcterms:modified xmlns:dcterms="http://purl.org/dc/terms/" xmlns:xsi="http://www.w3.org/2001/XMLSchema-instance" xsi:type="dcterms:W3CDTF">2026-06-02T20:15:33Z</dcterms:modified>
</cp:coreProperties>
</file>
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VS\"/>
    </mc:Choice>
  </mc:AlternateContent>
  <xr:revisionPtr revIDLastSave="0" documentId="8_{8AF0F7AB-EBC1-411D-9729-F3EB4FCAF023}" xr6:coauthVersionLast="47" xr6:coauthVersionMax="47" xr10:uidLastSave="{00000000-0000-0000-0000-000000000000}"/>
  <bookViews>
    <workbookView xWindow="338" yWindow="338" windowWidth="16200" windowHeight="9307" activeTab="2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" l="1"/>
  <c r="L2" i="6"/>
  <c r="L6" i="6" s="1"/>
  <c r="K2" i="6"/>
  <c r="K6" i="6" s="1"/>
  <c r="J2" i="6"/>
  <c r="J6" i="6" s="1"/>
  <c r="L14" i="3"/>
  <c r="K8" i="3" s="1"/>
  <c r="K14" i="3"/>
  <c r="J8" i="3" s="1"/>
  <c r="J14" i="3"/>
  <c r="I14" i="3"/>
  <c r="H14" i="3"/>
  <c r="G14" i="3"/>
  <c r="H2" i="13" s="1"/>
  <c r="H8" i="13" s="1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B64" i="2" l="1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E64" i="2"/>
  <c r="E69" i="2" s="1"/>
  <c r="D6" i="5" s="1"/>
  <c r="F64" i="2"/>
  <c r="F69" i="2" s="1"/>
  <c r="E6" i="5" s="1"/>
  <c r="H64" i="2"/>
  <c r="H69" i="2" s="1"/>
  <c r="G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V64" i="2"/>
  <c r="V69" i="2" s="1"/>
  <c r="U6" i="5" s="1"/>
  <c r="X64" i="2"/>
  <c r="X69" i="2" s="1"/>
  <c r="W6" i="5" s="1"/>
  <c r="M63" i="2"/>
  <c r="M68" i="2" s="1"/>
  <c r="L2" i="5" s="1"/>
  <c r="L8" i="5" s="1"/>
  <c r="Y64" i="2"/>
  <c r="Y69" i="2" s="1"/>
  <c r="X6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C64" i="2"/>
  <c r="C69" i="2" s="1"/>
  <c r="B6" i="5" s="1"/>
  <c r="G64" i="2"/>
  <c r="G69" i="2" s="1"/>
  <c r="F6" i="5" s="1"/>
  <c r="I64" i="2"/>
  <c r="I69" i="2" s="1"/>
  <c r="H6" i="5" s="1"/>
  <c r="L64" i="2"/>
  <c r="L69" i="2" s="1"/>
  <c r="K6" i="5" s="1"/>
  <c r="J63" i="2"/>
  <c r="J68" i="2" s="1"/>
  <c r="I2" i="5" s="1"/>
  <c r="I8" i="5" s="1"/>
  <c r="K63" i="2"/>
  <c r="K68" i="2" s="1"/>
  <c r="J2" i="5" s="1"/>
  <c r="J8" i="5" s="1"/>
  <c r="W64" i="2"/>
  <c r="W69" i="2" s="1"/>
  <c r="V6" i="5" s="1"/>
  <c r="L63" i="2"/>
  <c r="L68" i="2" s="1"/>
  <c r="K2" i="5" s="1"/>
  <c r="K8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A64" i="2"/>
  <c r="AA69" i="2" s="1"/>
  <c r="Z6" i="5" s="1"/>
  <c r="M2" i="6"/>
  <c r="J9" i="3"/>
  <c r="K9" i="3"/>
  <c r="K8" i="6"/>
  <c r="L2" i="13"/>
  <c r="AE63" i="2"/>
  <c r="AE68" i="2" s="1"/>
  <c r="AD2" i="5" s="1"/>
  <c r="AD8" i="5" s="1"/>
  <c r="L8" i="6"/>
  <c r="M2" i="13"/>
  <c r="H6" i="13"/>
  <c r="E9" i="3"/>
  <c r="G2" i="13"/>
  <c r="G2" i="6"/>
  <c r="I2" i="13"/>
  <c r="G8" i="3"/>
  <c r="H2" i="6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J2" i="13"/>
  <c r="H8" i="3"/>
  <c r="I2" i="6"/>
  <c r="K64" i="2"/>
  <c r="K69" i="2" s="1"/>
  <c r="J6" i="5" s="1"/>
  <c r="K2" i="13"/>
  <c r="I8" i="3"/>
  <c r="C14" i="3"/>
  <c r="D14" i="3"/>
  <c r="B14" i="3"/>
  <c r="E14" i="3"/>
  <c r="I6" i="6" l="1"/>
  <c r="I8" i="6"/>
  <c r="D2" i="6"/>
  <c r="D2" i="13"/>
  <c r="B9" i="3"/>
  <c r="B8" i="3"/>
  <c r="M6" i="6"/>
  <c r="M8" i="6"/>
  <c r="K8" i="13"/>
  <c r="K6" i="13"/>
  <c r="H6" i="6"/>
  <c r="H8" i="6"/>
  <c r="I8" i="13"/>
  <c r="I6" i="13"/>
  <c r="G8" i="6"/>
  <c r="G6" i="6"/>
  <c r="G8" i="13"/>
  <c r="G6" i="13"/>
  <c r="J8" i="13"/>
  <c r="J6" i="13"/>
  <c r="M8" i="13"/>
  <c r="M6" i="13"/>
  <c r="L8" i="13"/>
  <c r="L6" i="1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<sst xmlns="http://schemas.openxmlformats.org/spreadsheetml/2006/main" count="491" uniqueCount="240">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</sst>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6328125" defaultRowHeight="14.25" x14ac:dyDescent="0.45"/>
  <cols>
    <col min="2" max="2" width="69.3984375" customWidth="1"/>
  </cols>
  <sheetData>
    <row r="1" spans="1:7" x14ac:dyDescent="0.45">
      <c r="A1" s="1" t="s">
        <v>29</v>
      </c>
      <c r="B1" s="36" t="s">
        <v>136</v>
      </c>
      <c r="C1" s="37">
        <v>46266</v>
      </c>
      <c r="F1" s="35" t="s">
        <v>31</v>
      </c>
      <c r="G1" s="35" t="s">
        <v>31</v>
      </c>
    </row>
    <row r="2" spans="1:7" x14ac:dyDescent="0.45">
      <c r="B2" s="1" t="str">
        <f>LOOKUP(B1,F2:G51,G2:G51)</f>
        <v>WY</v>
      </c>
      <c r="F2" s="36" t="s">
        <v>30</v>
      </c>
      <c r="G2" s="36" t="s">
        <v>32</v>
      </c>
    </row>
    <row r="3" spans="1:7" x14ac:dyDescent="0.4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45">
      <c r="B4" t="s">
        <v>37</v>
      </c>
      <c r="F4" s="36" t="s">
        <v>38</v>
      </c>
      <c r="G4" s="36" t="s">
        <v>39</v>
      </c>
    </row>
    <row r="5" spans="1:7" x14ac:dyDescent="0.45">
      <c r="B5" s="3" t="s">
        <v>40</v>
      </c>
      <c r="F5" s="36" t="s">
        <v>41</v>
      </c>
      <c r="G5" s="36" t="s">
        <v>42</v>
      </c>
    </row>
    <row r="6" spans="1:7" x14ac:dyDescent="0.45">
      <c r="F6" s="36" t="s">
        <v>43</v>
      </c>
      <c r="G6" s="36" t="s">
        <v>44</v>
      </c>
    </row>
    <row r="7" spans="1:7" x14ac:dyDescent="0.45">
      <c r="B7" s="59" t="s">
        <v>236</v>
      </c>
      <c r="F7" s="36" t="s">
        <v>46</v>
      </c>
      <c r="G7" s="36" t="s">
        <v>47</v>
      </c>
    </row>
    <row r="8" spans="1:7" x14ac:dyDescent="0.45">
      <c r="B8" t="s">
        <v>237</v>
      </c>
      <c r="F8" s="36" t="s">
        <v>49</v>
      </c>
      <c r="G8" s="36" t="s">
        <v>50</v>
      </c>
    </row>
    <row r="9" spans="1:7" x14ac:dyDescent="0.45">
      <c r="B9" t="s">
        <v>238</v>
      </c>
      <c r="F9" s="36" t="s">
        <v>51</v>
      </c>
      <c r="G9" s="36" t="s">
        <v>52</v>
      </c>
    </row>
    <row r="10" spans="1:7" x14ac:dyDescent="0.45">
      <c r="B10" t="s">
        <v>239</v>
      </c>
      <c r="F10" s="36" t="s">
        <v>54</v>
      </c>
      <c r="G10" s="36" t="s">
        <v>55</v>
      </c>
    </row>
    <row r="11" spans="1:7" x14ac:dyDescent="0.45">
      <c r="B11" s="3">
        <v>2026</v>
      </c>
      <c r="F11" s="36" t="s">
        <v>56</v>
      </c>
      <c r="G11" s="36" t="s">
        <v>57</v>
      </c>
    </row>
    <row r="12" spans="1:7" x14ac:dyDescent="0.45">
      <c r="B12" s="3"/>
      <c r="F12" s="36" t="s">
        <v>58</v>
      </c>
      <c r="G12" s="36" t="s">
        <v>59</v>
      </c>
    </row>
    <row r="13" spans="1:7" x14ac:dyDescent="0.45">
      <c r="F13" s="36" t="s">
        <v>60</v>
      </c>
      <c r="G13" s="36" t="s">
        <v>61</v>
      </c>
    </row>
    <row r="14" spans="1:7" x14ac:dyDescent="0.45">
      <c r="B14" s="4"/>
      <c r="F14" s="36" t="s">
        <v>62</v>
      </c>
      <c r="G14" s="36" t="s">
        <v>63</v>
      </c>
    </row>
    <row r="15" spans="1:7" x14ac:dyDescent="0.45">
      <c r="A15" s="1" t="s">
        <v>235</v>
      </c>
      <c r="F15" s="36" t="s">
        <v>64</v>
      </c>
      <c r="G15" s="36" t="s">
        <v>65</v>
      </c>
    </row>
    <row r="16" spans="1:7" x14ac:dyDescent="0.45">
      <c r="A16" s="4" t="s">
        <v>45</v>
      </c>
      <c r="F16" s="36" t="s">
        <v>66</v>
      </c>
      <c r="G16" s="36" t="s">
        <v>67</v>
      </c>
    </row>
    <row r="17" spans="1:7" x14ac:dyDescent="0.45">
      <c r="A17" t="s">
        <v>48</v>
      </c>
      <c r="F17" s="36" t="s">
        <v>68</v>
      </c>
      <c r="G17" s="36" t="s">
        <v>69</v>
      </c>
    </row>
    <row r="18" spans="1:7" x14ac:dyDescent="0.45">
      <c r="F18" s="36" t="s">
        <v>70</v>
      </c>
      <c r="G18" s="36" t="s">
        <v>71</v>
      </c>
    </row>
    <row r="19" spans="1:7" x14ac:dyDescent="0.45">
      <c r="A19" t="s">
        <v>53</v>
      </c>
      <c r="F19" s="36" t="s">
        <v>72</v>
      </c>
      <c r="G19" s="36" t="s">
        <v>73</v>
      </c>
    </row>
    <row r="20" spans="1:7" x14ac:dyDescent="0.45">
      <c r="F20" s="36" t="s">
        <v>74</v>
      </c>
      <c r="G20" s="36" t="s">
        <v>75</v>
      </c>
    </row>
    <row r="21" spans="1:7" x14ac:dyDescent="0.45">
      <c r="F21" s="36" t="s">
        <v>76</v>
      </c>
      <c r="G21" s="36" t="s">
        <v>77</v>
      </c>
    </row>
    <row r="22" spans="1:7" x14ac:dyDescent="0.45">
      <c r="F22" s="36" t="s">
        <v>78</v>
      </c>
      <c r="G22" s="36" t="s">
        <v>79</v>
      </c>
    </row>
    <row r="23" spans="1:7" x14ac:dyDescent="0.45">
      <c r="F23" s="36" t="s">
        <v>80</v>
      </c>
      <c r="G23" s="36" t="s">
        <v>81</v>
      </c>
    </row>
    <row r="24" spans="1:7" x14ac:dyDescent="0.45">
      <c r="F24" s="36" t="s">
        <v>82</v>
      </c>
      <c r="G24" s="36" t="s">
        <v>83</v>
      </c>
    </row>
    <row r="25" spans="1:7" x14ac:dyDescent="0.45">
      <c r="F25" s="36" t="s">
        <v>84</v>
      </c>
      <c r="G25" s="36" t="s">
        <v>85</v>
      </c>
    </row>
    <row r="26" spans="1:7" x14ac:dyDescent="0.45">
      <c r="B26" s="3"/>
      <c r="F26" s="36" t="s">
        <v>86</v>
      </c>
      <c r="G26" s="36" t="s">
        <v>87</v>
      </c>
    </row>
    <row r="27" spans="1:7" x14ac:dyDescent="0.45">
      <c r="F27" s="36" t="s">
        <v>88</v>
      </c>
      <c r="G27" s="36" t="s">
        <v>89</v>
      </c>
    </row>
    <row r="28" spans="1:7" x14ac:dyDescent="0.45">
      <c r="B28" s="4"/>
      <c r="F28" s="36" t="s">
        <v>90</v>
      </c>
      <c r="G28" s="36" t="s">
        <v>91</v>
      </c>
    </row>
    <row r="29" spans="1:7" x14ac:dyDescent="0.45">
      <c r="F29" s="36" t="s">
        <v>92</v>
      </c>
      <c r="G29" s="36" t="s">
        <v>93</v>
      </c>
    </row>
    <row r="30" spans="1:7" x14ac:dyDescent="0.45">
      <c r="F30" s="36" t="s">
        <v>94</v>
      </c>
      <c r="G30" s="36" t="s">
        <v>95</v>
      </c>
    </row>
    <row r="31" spans="1:7" x14ac:dyDescent="0.45">
      <c r="A31" s="1"/>
      <c r="F31" s="36" t="s">
        <v>96</v>
      </c>
      <c r="G31" s="36" t="s">
        <v>97</v>
      </c>
    </row>
    <row r="32" spans="1:7" x14ac:dyDescent="0.45">
      <c r="F32" s="36" t="s">
        <v>98</v>
      </c>
      <c r="G32" s="36" t="s">
        <v>99</v>
      </c>
    </row>
    <row r="33" spans="6:7" x14ac:dyDescent="0.45">
      <c r="F33" s="36" t="s">
        <v>100</v>
      </c>
      <c r="G33" s="36" t="s">
        <v>101</v>
      </c>
    </row>
    <row r="34" spans="6:7" x14ac:dyDescent="0.45">
      <c r="F34" s="36" t="s">
        <v>102</v>
      </c>
      <c r="G34" s="36" t="s">
        <v>103</v>
      </c>
    </row>
    <row r="35" spans="6:7" x14ac:dyDescent="0.45">
      <c r="F35" s="36" t="s">
        <v>104</v>
      </c>
      <c r="G35" s="36" t="s">
        <v>105</v>
      </c>
    </row>
    <row r="36" spans="6:7" x14ac:dyDescent="0.45">
      <c r="F36" s="36" t="s">
        <v>106</v>
      </c>
      <c r="G36" s="36" t="s">
        <v>107</v>
      </c>
    </row>
    <row r="37" spans="6:7" x14ac:dyDescent="0.45">
      <c r="F37" s="36" t="s">
        <v>108</v>
      </c>
      <c r="G37" s="36" t="s">
        <v>109</v>
      </c>
    </row>
    <row r="38" spans="6:7" x14ac:dyDescent="0.45">
      <c r="F38" s="36" t="s">
        <v>110</v>
      </c>
      <c r="G38" s="36" t="s">
        <v>111</v>
      </c>
    </row>
    <row r="39" spans="6:7" x14ac:dyDescent="0.45">
      <c r="F39" s="36" t="s">
        <v>112</v>
      </c>
      <c r="G39" s="36" t="s">
        <v>113</v>
      </c>
    </row>
    <row r="40" spans="6:7" x14ac:dyDescent="0.45">
      <c r="F40" s="36" t="s">
        <v>114</v>
      </c>
      <c r="G40" s="36" t="s">
        <v>115</v>
      </c>
    </row>
    <row r="41" spans="6:7" x14ac:dyDescent="0.45">
      <c r="F41" s="36" t="s">
        <v>116</v>
      </c>
      <c r="G41" s="36" t="s">
        <v>117</v>
      </c>
    </row>
    <row r="42" spans="6:7" x14ac:dyDescent="0.45">
      <c r="F42" s="36" t="s">
        <v>118</v>
      </c>
      <c r="G42" s="36" t="s">
        <v>119</v>
      </c>
    </row>
    <row r="43" spans="6:7" x14ac:dyDescent="0.45">
      <c r="F43" s="36" t="s">
        <v>120</v>
      </c>
      <c r="G43" s="36" t="s">
        <v>121</v>
      </c>
    </row>
    <row r="44" spans="6:7" x14ac:dyDescent="0.45">
      <c r="F44" s="36" t="s">
        <v>122</v>
      </c>
      <c r="G44" s="36" t="s">
        <v>123</v>
      </c>
    </row>
    <row r="45" spans="6:7" x14ac:dyDescent="0.45">
      <c r="F45" s="36" t="s">
        <v>124</v>
      </c>
      <c r="G45" s="36" t="s">
        <v>125</v>
      </c>
    </row>
    <row r="46" spans="6:7" x14ac:dyDescent="0.45">
      <c r="F46" s="36" t="s">
        <v>126</v>
      </c>
      <c r="G46" s="36" t="s">
        <v>127</v>
      </c>
    </row>
    <row r="47" spans="6:7" x14ac:dyDescent="0.45">
      <c r="F47" s="36" t="s">
        <v>128</v>
      </c>
      <c r="G47" s="36" t="s">
        <v>129</v>
      </c>
    </row>
    <row r="48" spans="6:7" x14ac:dyDescent="0.45">
      <c r="F48" s="36" t="s">
        <v>130</v>
      </c>
      <c r="G48" s="36" t="s">
        <v>131</v>
      </c>
    </row>
    <row r="49" spans="6:7" x14ac:dyDescent="0.45">
      <c r="F49" s="36" t="s">
        <v>132</v>
      </c>
      <c r="G49" s="36" t="s">
        <v>133</v>
      </c>
    </row>
    <row r="50" spans="6:7" x14ac:dyDescent="0.45">
      <c r="F50" s="36" t="s">
        <v>134</v>
      </c>
      <c r="G50" s="36" t="s">
        <v>135</v>
      </c>
    </row>
    <row r="51" spans="6:7" x14ac:dyDescent="0.4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3046875" defaultRowHeight="14.25" x14ac:dyDescent="0.45"/>
  <cols>
    <col min="1" max="1" width="45.3984375" customWidth="1"/>
    <col min="2" max="2" width="15.73046875" customWidth="1"/>
    <col min="3" max="3" width="19.1328125" customWidth="1"/>
    <col min="4" max="7" width="11.86328125" bestFit="1" customWidth="1"/>
    <col min="8" max="8" width="11.3984375" bestFit="1" customWidth="1"/>
    <col min="9" max="10" width="11.86328125" bestFit="1" customWidth="1"/>
    <col min="11" max="11" width="11.3984375" bestFit="1" customWidth="1"/>
    <col min="12" max="13" width="11.86328125" bestFit="1" customWidth="1"/>
  </cols>
  <sheetData>
    <row r="1" spans="1:31" x14ac:dyDescent="0.45">
      <c r="A1" s="1" t="s">
        <v>0</v>
      </c>
    </row>
    <row r="2" spans="1:31" x14ac:dyDescent="0.45">
      <c r="A2" t="s">
        <v>1</v>
      </c>
    </row>
    <row r="3" spans="1:31" x14ac:dyDescent="0.45">
      <c r="A3" s="1" t="s">
        <v>2</v>
      </c>
    </row>
    <row r="4" spans="1:31" x14ac:dyDescent="0.4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4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s="5"/>
    </row>
    <row r="9" spans="1:31" x14ac:dyDescent="0.45">
      <c r="A9" s="6"/>
    </row>
    <row r="10" spans="1:31" x14ac:dyDescent="0.45">
      <c r="A10" s="5"/>
    </row>
    <row r="11" spans="1:31" x14ac:dyDescent="0.45">
      <c r="A11" s="5"/>
    </row>
    <row r="12" spans="1:31" x14ac:dyDescent="0.45">
      <c r="A12" s="7"/>
      <c r="B12" s="7"/>
    </row>
    <row r="13" spans="1:31" x14ac:dyDescent="0.45">
      <c r="A13" s="8"/>
      <c r="B13" s="8"/>
      <c r="C13" s="9" t="s">
        <v>6</v>
      </c>
    </row>
    <row r="14" spans="1:31" x14ac:dyDescent="0.45">
      <c r="A14" s="8"/>
      <c r="B14" s="8"/>
      <c r="C14" s="9" t="s">
        <v>7</v>
      </c>
    </row>
    <row r="15" spans="1:31" x14ac:dyDescent="0.45">
      <c r="A15" s="8"/>
      <c r="B15" s="8"/>
    </row>
    <row r="16" spans="1:3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4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4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4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4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4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4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4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4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4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4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4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4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4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4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4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4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4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45">
      <c r="A34" s="8"/>
      <c r="B34" s="8"/>
    </row>
    <row r="35" spans="1:11" ht="15.75" customHeight="1" x14ac:dyDescent="0.45">
      <c r="A35" s="8"/>
      <c r="B35" s="8"/>
    </row>
    <row r="36" spans="1:11" ht="15.75" customHeight="1" x14ac:dyDescent="0.4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4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4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4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4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4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4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4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4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4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4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4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4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4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4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4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45">
      <c r="A54" s="8"/>
      <c r="B54" s="8"/>
    </row>
    <row r="55" spans="1:32" ht="15.75" customHeight="1" x14ac:dyDescent="0.45">
      <c r="A55" s="8"/>
      <c r="B55" s="8"/>
    </row>
    <row r="56" spans="1:32" ht="15.7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45">
      <c r="A57" s="13"/>
    </row>
    <row r="58" spans="1:32" x14ac:dyDescent="0.45">
      <c r="A58" s="5"/>
    </row>
    <row r="59" spans="1:32" x14ac:dyDescent="0.45">
      <c r="A59" s="5"/>
    </row>
    <row r="60" spans="1:32" x14ac:dyDescent="0.45">
      <c r="A60" s="5"/>
    </row>
    <row r="61" spans="1:32" x14ac:dyDescent="0.45">
      <c r="A61" s="55" t="s">
        <v>9</v>
      </c>
    </row>
    <row r="62" spans="1:32" x14ac:dyDescent="0.4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4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4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45">
      <c r="A65" s="5"/>
    </row>
    <row r="66" spans="1:41" x14ac:dyDescent="0.45">
      <c r="A66" s="5" t="s">
        <v>10</v>
      </c>
    </row>
    <row r="67" spans="1:41" x14ac:dyDescent="0.4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4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4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45">
      <c r="D73" s="21" t="s">
        <v>11</v>
      </c>
      <c r="E73" s="21"/>
      <c r="F73" s="21"/>
      <c r="G73" s="21"/>
      <c r="H73" s="21"/>
      <c r="I73" s="21"/>
      <c r="J73" s="21"/>
    </row>
    <row r="74" spans="1:41" x14ac:dyDescent="0.45">
      <c r="D74" s="21" t="s">
        <v>12</v>
      </c>
      <c r="E74" s="21"/>
      <c r="F74" s="21"/>
      <c r="G74" s="21"/>
      <c r="H74" s="21"/>
      <c r="I74" s="21"/>
      <c r="J74" s="21"/>
    </row>
    <row r="75" spans="1:41" x14ac:dyDescent="0.4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4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4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4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4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4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4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4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4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4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4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4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4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4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4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4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4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4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4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4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4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4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4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4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4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4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4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4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4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4.25" x14ac:dyDescent="0.4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45">
      <c r="A1" s="57" t="s">
        <v>180</v>
      </c>
    </row>
    <row r="2" spans="1:35" x14ac:dyDescent="0.45">
      <c r="A2" t="s">
        <v>181</v>
      </c>
    </row>
    <row r="4" spans="1:35" x14ac:dyDescent="0.4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4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4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4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4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4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4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4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4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4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4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4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4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4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4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4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4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4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4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4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4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4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4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4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4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4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4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4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4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4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4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4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4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4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4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4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4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4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4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4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4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4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Q20" sqref="Q20"/>
    </sheetView>
  </sheetViews>
  <sheetFormatPr defaultColWidth="12.59765625" defaultRowHeight="15.75" customHeight="1" x14ac:dyDescent="0.4"/>
  <cols>
    <col min="1" max="1" width="51.86328125" style="21" customWidth="1"/>
    <col min="2" max="2" width="12.73046875" style="21" bestFit="1" customWidth="1"/>
    <col min="3" max="3" width="12.265625" style="21" customWidth="1"/>
    <col min="4" max="4" width="9.59765625" style="21" customWidth="1"/>
    <col min="5" max="38" width="7.59765625" style="21" customWidth="1"/>
    <col min="39" max="39" width="12.59765625" style="21" customWidth="1"/>
    <col min="40" max="16384" width="12.59765625" style="21"/>
  </cols>
  <sheetData>
    <row r="1" spans="1:38" ht="14.25" customHeight="1" x14ac:dyDescent="0.4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4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4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4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4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4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4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4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4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4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4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4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4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4">
      <c r="A15" s="24"/>
    </row>
    <row r="16" spans="1:38" ht="13.15" customHeight="1" x14ac:dyDescent="0.4">
      <c r="A16" s="24" t="s">
        <v>149</v>
      </c>
      <c r="B16" s="24">
        <v>0.86</v>
      </c>
    </row>
    <row r="17" spans="1:33" ht="13.15" customHeight="1" x14ac:dyDescent="0.4">
      <c r="A17" s="24"/>
    </row>
    <row r="18" spans="1:33" ht="13.15" customHeight="1" x14ac:dyDescent="0.4"/>
    <row r="19" spans="1:33" ht="13.15" customHeight="1" x14ac:dyDescent="0.4">
      <c r="A19" s="24" t="s">
        <v>150</v>
      </c>
    </row>
    <row r="20" spans="1:33" ht="13.15" customHeight="1" x14ac:dyDescent="0.4">
      <c r="A20" s="24" t="s">
        <v>151</v>
      </c>
    </row>
    <row r="21" spans="1:33" ht="13.15" customHeight="1" x14ac:dyDescent="0.4"/>
    <row r="22" spans="1:33" ht="39.4" customHeight="1" x14ac:dyDescent="0.4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4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4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4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4"/>
    <row r="27" spans="1:33" ht="13.15" customHeight="1" x14ac:dyDescent="0.4">
      <c r="A27" s="24" t="s">
        <v>163</v>
      </c>
    </row>
    <row r="28" spans="1:33" ht="13.15" customHeight="1" x14ac:dyDescent="0.4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4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4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4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4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4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4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4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4"/>
    <row r="38" spans="1:32" ht="13.15" customHeight="1" x14ac:dyDescent="0.4"/>
    <row r="39" spans="1:32" ht="13.15" customHeight="1" x14ac:dyDescent="0.4"/>
    <row r="40" spans="1:32" ht="13.15" customHeight="1" x14ac:dyDescent="0.4"/>
    <row r="41" spans="1:32" ht="13.15" customHeight="1" x14ac:dyDescent="0.4"/>
    <row r="42" spans="1:32" ht="13.15" customHeight="1" x14ac:dyDescent="0.4"/>
    <row r="43" spans="1:32" ht="13.15" customHeight="1" x14ac:dyDescent="0.4"/>
    <row r="44" spans="1:32" ht="13.15" customHeight="1" x14ac:dyDescent="0.4"/>
    <row r="45" spans="1:32" ht="13.15" customHeight="1" x14ac:dyDescent="0.4"/>
    <row r="46" spans="1:32" ht="13.15" customHeight="1" x14ac:dyDescent="0.4"/>
    <row r="47" spans="1:32" ht="13.15" customHeight="1" x14ac:dyDescent="0.4"/>
    <row r="48" spans="1:32" ht="13.15" customHeight="1" x14ac:dyDescent="0.4"/>
    <row r="49" ht="13.15" customHeight="1" x14ac:dyDescent="0.4"/>
    <row r="50" ht="13.15" customHeight="1" x14ac:dyDescent="0.4"/>
    <row r="51" ht="13.15" customHeight="1" x14ac:dyDescent="0.4"/>
    <row r="52" ht="13.15" customHeight="1" x14ac:dyDescent="0.4"/>
    <row r="53" ht="13.15" customHeight="1" x14ac:dyDescent="0.4"/>
    <row r="54" ht="13.15" customHeight="1" x14ac:dyDescent="0.4"/>
    <row r="55" ht="13.15" customHeight="1" x14ac:dyDescent="0.4"/>
    <row r="56" ht="13.15" customHeight="1" x14ac:dyDescent="0.4"/>
    <row r="57" ht="13.15" customHeight="1" x14ac:dyDescent="0.4"/>
    <row r="58" ht="13.15" customHeight="1" x14ac:dyDescent="0.4"/>
    <row r="59" ht="13.15" customHeight="1" x14ac:dyDescent="0.4"/>
    <row r="60" ht="13.15" customHeight="1" x14ac:dyDescent="0.4"/>
    <row r="61" ht="13.15" customHeight="1" x14ac:dyDescent="0.4"/>
    <row r="62" ht="13.15" customHeight="1" x14ac:dyDescent="0.4"/>
    <row r="63" ht="13.15" customHeight="1" x14ac:dyDescent="0.4"/>
    <row r="64" ht="13.15" customHeight="1" x14ac:dyDescent="0.4"/>
    <row r="65" ht="13.15" customHeight="1" x14ac:dyDescent="0.4"/>
    <row r="66" ht="13.15" customHeight="1" x14ac:dyDescent="0.4"/>
    <row r="67" ht="13.15" customHeight="1" x14ac:dyDescent="0.4"/>
    <row r="68" ht="13.15" customHeight="1" x14ac:dyDescent="0.4"/>
    <row r="69" ht="13.15" customHeight="1" x14ac:dyDescent="0.4"/>
    <row r="70" ht="13.15" customHeight="1" x14ac:dyDescent="0.4"/>
    <row r="71" ht="13.15" customHeight="1" x14ac:dyDescent="0.4"/>
    <row r="72" ht="13.15" customHeight="1" x14ac:dyDescent="0.4"/>
    <row r="73" ht="13.15" customHeight="1" x14ac:dyDescent="0.4"/>
    <row r="74" ht="13.15" customHeight="1" x14ac:dyDescent="0.4"/>
    <row r="75" ht="13.15" customHeight="1" x14ac:dyDescent="0.4"/>
    <row r="76" ht="13.15" customHeight="1" x14ac:dyDescent="0.4"/>
    <row r="77" ht="13.15" customHeight="1" x14ac:dyDescent="0.4"/>
    <row r="78" ht="13.15" customHeight="1" x14ac:dyDescent="0.4"/>
    <row r="79" ht="13.15" customHeight="1" x14ac:dyDescent="0.4"/>
    <row r="80" ht="13.15" customHeight="1" x14ac:dyDescent="0.4"/>
    <row r="81" ht="13.15" customHeight="1" x14ac:dyDescent="0.4"/>
    <row r="82" ht="13.15" customHeight="1" x14ac:dyDescent="0.4"/>
    <row r="83" ht="13.15" customHeight="1" x14ac:dyDescent="0.4"/>
    <row r="84" ht="13.15" customHeight="1" x14ac:dyDescent="0.4"/>
    <row r="85" ht="13.15" customHeight="1" x14ac:dyDescent="0.4"/>
    <row r="86" ht="13.15" customHeight="1" x14ac:dyDescent="0.4"/>
    <row r="87" ht="13.15" customHeight="1" x14ac:dyDescent="0.4"/>
    <row r="88" ht="13.15" customHeight="1" x14ac:dyDescent="0.4"/>
    <row r="89" ht="13.15" customHeight="1" x14ac:dyDescent="0.4"/>
    <row r="90" ht="13.15" customHeight="1" x14ac:dyDescent="0.4"/>
    <row r="91" ht="13.15" customHeight="1" x14ac:dyDescent="0.4"/>
    <row r="92" ht="13.15" customHeight="1" x14ac:dyDescent="0.4"/>
    <row r="93" ht="13.15" customHeight="1" x14ac:dyDescent="0.4"/>
    <row r="94" ht="13.15" customHeight="1" x14ac:dyDescent="0.4"/>
    <row r="95" ht="13.15" customHeight="1" x14ac:dyDescent="0.4"/>
    <row r="96" ht="13.15" customHeight="1" x14ac:dyDescent="0.4"/>
    <row r="97" ht="13.15" customHeight="1" x14ac:dyDescent="0.4"/>
    <row r="98" ht="13.15" customHeight="1" x14ac:dyDescent="0.4"/>
    <row r="99" ht="13.15" customHeight="1" x14ac:dyDescent="0.4"/>
    <row r="100" ht="13.15" customHeight="1" x14ac:dyDescent="0.4"/>
    <row r="101" ht="13.15" customHeight="1" x14ac:dyDescent="0.4"/>
    <row r="102" ht="13.15" customHeight="1" x14ac:dyDescent="0.4"/>
    <row r="103" ht="13.15" customHeight="1" x14ac:dyDescent="0.4"/>
    <row r="104" ht="13.15" customHeight="1" x14ac:dyDescent="0.4"/>
    <row r="105" ht="13.15" customHeight="1" x14ac:dyDescent="0.4"/>
    <row r="106" ht="13.15" customHeight="1" x14ac:dyDescent="0.4"/>
    <row r="107" ht="13.15" customHeight="1" x14ac:dyDescent="0.4"/>
    <row r="108" ht="13.15" customHeight="1" x14ac:dyDescent="0.4"/>
    <row r="109" ht="13.15" customHeight="1" x14ac:dyDescent="0.4"/>
    <row r="110" ht="13.15" customHeight="1" x14ac:dyDescent="0.4"/>
    <row r="111" ht="13.15" customHeight="1" x14ac:dyDescent="0.4"/>
    <row r="112" ht="13.15" customHeight="1" x14ac:dyDescent="0.4"/>
    <row r="113" ht="13.15" customHeight="1" x14ac:dyDescent="0.4"/>
    <row r="114" ht="13.15" customHeight="1" x14ac:dyDescent="0.4"/>
    <row r="115" ht="13.15" customHeight="1" x14ac:dyDescent="0.4"/>
    <row r="116" ht="13.15" customHeight="1" x14ac:dyDescent="0.4"/>
    <row r="117" ht="13.15" customHeight="1" x14ac:dyDescent="0.4"/>
    <row r="118" ht="13.15" customHeight="1" x14ac:dyDescent="0.4"/>
    <row r="119" ht="13.15" customHeight="1" x14ac:dyDescent="0.4"/>
    <row r="120" ht="13.15" customHeight="1" x14ac:dyDescent="0.4"/>
    <row r="121" ht="13.15" customHeight="1" x14ac:dyDescent="0.4"/>
    <row r="122" ht="13.15" customHeight="1" x14ac:dyDescent="0.4"/>
    <row r="123" ht="13.15" customHeight="1" x14ac:dyDescent="0.4"/>
    <row r="124" ht="13.15" customHeight="1" x14ac:dyDescent="0.4"/>
    <row r="125" ht="13.15" customHeight="1" x14ac:dyDescent="0.4"/>
    <row r="126" ht="13.15" customHeight="1" x14ac:dyDescent="0.4"/>
    <row r="127" ht="13.15" customHeight="1" x14ac:dyDescent="0.4"/>
    <row r="128" ht="13.15" customHeight="1" x14ac:dyDescent="0.4"/>
    <row r="129" ht="13.15" customHeight="1" x14ac:dyDescent="0.4"/>
    <row r="130" ht="13.15" customHeight="1" x14ac:dyDescent="0.4"/>
    <row r="131" ht="13.15" customHeight="1" x14ac:dyDescent="0.4"/>
    <row r="132" ht="13.15" customHeight="1" x14ac:dyDescent="0.4"/>
    <row r="133" ht="13.15" customHeight="1" x14ac:dyDescent="0.4"/>
    <row r="134" ht="13.15" customHeight="1" x14ac:dyDescent="0.4"/>
    <row r="135" ht="13.15" customHeight="1" x14ac:dyDescent="0.4"/>
    <row r="136" ht="13.15" customHeight="1" x14ac:dyDescent="0.4"/>
    <row r="137" ht="13.15" customHeight="1" x14ac:dyDescent="0.4"/>
    <row r="138" ht="13.15" customHeight="1" x14ac:dyDescent="0.4"/>
    <row r="139" ht="13.15" customHeight="1" x14ac:dyDescent="0.4"/>
    <row r="140" ht="13.15" customHeight="1" x14ac:dyDescent="0.4"/>
    <row r="141" ht="13.15" customHeight="1" x14ac:dyDescent="0.4"/>
    <row r="142" ht="13.15" customHeight="1" x14ac:dyDescent="0.4"/>
    <row r="143" ht="13.15" customHeight="1" x14ac:dyDescent="0.4"/>
    <row r="144" ht="13.15" customHeight="1" x14ac:dyDescent="0.4"/>
    <row r="145" ht="13.15" customHeight="1" x14ac:dyDescent="0.4"/>
    <row r="146" ht="13.15" customHeight="1" x14ac:dyDescent="0.4"/>
    <row r="147" ht="13.15" customHeight="1" x14ac:dyDescent="0.4"/>
    <row r="148" ht="13.15" customHeight="1" x14ac:dyDescent="0.4"/>
    <row r="149" ht="13.15" customHeight="1" x14ac:dyDescent="0.4"/>
    <row r="150" ht="13.15" customHeight="1" x14ac:dyDescent="0.4"/>
    <row r="151" ht="13.15" customHeight="1" x14ac:dyDescent="0.4"/>
    <row r="152" ht="13.15" customHeight="1" x14ac:dyDescent="0.4"/>
    <row r="153" ht="13.15" customHeight="1" x14ac:dyDescent="0.4"/>
    <row r="154" ht="13.15" customHeight="1" x14ac:dyDescent="0.4"/>
    <row r="155" ht="13.15" customHeight="1" x14ac:dyDescent="0.4"/>
    <row r="156" ht="13.15" customHeight="1" x14ac:dyDescent="0.4"/>
    <row r="157" ht="13.15" customHeight="1" x14ac:dyDescent="0.4"/>
    <row r="158" ht="13.15" customHeight="1" x14ac:dyDescent="0.4"/>
    <row r="159" ht="13.15" customHeight="1" x14ac:dyDescent="0.4"/>
    <row r="160" ht="13.15" customHeight="1" x14ac:dyDescent="0.4"/>
    <row r="161" ht="13.15" customHeight="1" x14ac:dyDescent="0.4"/>
    <row r="162" ht="13.15" customHeight="1" x14ac:dyDescent="0.4"/>
    <row r="163" ht="13.15" customHeight="1" x14ac:dyDescent="0.4"/>
    <row r="164" ht="13.15" customHeight="1" x14ac:dyDescent="0.4"/>
    <row r="165" ht="13.15" customHeight="1" x14ac:dyDescent="0.4"/>
    <row r="166" ht="13.15" customHeight="1" x14ac:dyDescent="0.4"/>
    <row r="167" ht="13.15" customHeight="1" x14ac:dyDescent="0.4"/>
    <row r="168" ht="13.15" customHeight="1" x14ac:dyDescent="0.4"/>
    <row r="169" ht="13.15" customHeight="1" x14ac:dyDescent="0.4"/>
    <row r="170" ht="13.15" customHeight="1" x14ac:dyDescent="0.4"/>
    <row r="171" ht="13.15" customHeight="1" x14ac:dyDescent="0.4"/>
    <row r="172" ht="13.15" customHeight="1" x14ac:dyDescent="0.4"/>
    <row r="173" ht="13.15" customHeight="1" x14ac:dyDescent="0.4"/>
    <row r="174" ht="13.15" customHeight="1" x14ac:dyDescent="0.4"/>
    <row r="175" ht="13.15" customHeight="1" x14ac:dyDescent="0.4"/>
    <row r="176" ht="13.15" customHeight="1" x14ac:dyDescent="0.4"/>
    <row r="177" ht="13.15" customHeight="1" x14ac:dyDescent="0.4"/>
    <row r="178" ht="13.15" customHeight="1" x14ac:dyDescent="0.4"/>
    <row r="179" ht="13.15" customHeight="1" x14ac:dyDescent="0.4"/>
    <row r="180" ht="13.15" customHeight="1" x14ac:dyDescent="0.4"/>
    <row r="181" ht="13.15" customHeight="1" x14ac:dyDescent="0.4"/>
    <row r="182" ht="13.15" customHeight="1" x14ac:dyDescent="0.4"/>
    <row r="183" ht="13.15" customHeight="1" x14ac:dyDescent="0.4"/>
    <row r="184" ht="13.15" customHeight="1" x14ac:dyDescent="0.4"/>
    <row r="185" ht="13.15" customHeight="1" x14ac:dyDescent="0.4"/>
    <row r="186" ht="13.15" customHeight="1" x14ac:dyDescent="0.4"/>
    <row r="187" ht="13.15" customHeight="1" x14ac:dyDescent="0.4"/>
    <row r="188" ht="13.15" customHeight="1" x14ac:dyDescent="0.4"/>
    <row r="189" ht="13.15" customHeight="1" x14ac:dyDescent="0.4"/>
    <row r="190" ht="13.15" customHeight="1" x14ac:dyDescent="0.4"/>
    <row r="191" ht="13.15" customHeight="1" x14ac:dyDescent="0.4"/>
    <row r="192" ht="13.15" customHeight="1" x14ac:dyDescent="0.4"/>
    <row r="193" ht="13.15" customHeight="1" x14ac:dyDescent="0.4"/>
    <row r="194" ht="13.15" customHeight="1" x14ac:dyDescent="0.4"/>
    <row r="195" ht="13.15" customHeight="1" x14ac:dyDescent="0.4"/>
    <row r="196" ht="13.15" customHeight="1" x14ac:dyDescent="0.4"/>
    <row r="197" ht="13.15" customHeight="1" x14ac:dyDescent="0.4"/>
    <row r="198" ht="13.15" customHeight="1" x14ac:dyDescent="0.4"/>
    <row r="199" ht="13.15" customHeight="1" x14ac:dyDescent="0.4"/>
    <row r="200" ht="13.15" customHeight="1" x14ac:dyDescent="0.4"/>
    <row r="201" ht="13.15" customHeight="1" x14ac:dyDescent="0.4"/>
    <row r="202" ht="13.15" customHeight="1" x14ac:dyDescent="0.4"/>
    <row r="203" ht="13.15" customHeight="1" x14ac:dyDescent="0.4"/>
    <row r="204" ht="13.15" customHeight="1" x14ac:dyDescent="0.4"/>
    <row r="205" ht="13.15" customHeight="1" x14ac:dyDescent="0.4"/>
    <row r="206" ht="13.15" customHeight="1" x14ac:dyDescent="0.4"/>
    <row r="207" ht="13.15" customHeight="1" x14ac:dyDescent="0.4"/>
    <row r="208" ht="13.15" customHeight="1" x14ac:dyDescent="0.4"/>
    <row r="209" ht="13.15" customHeight="1" x14ac:dyDescent="0.4"/>
    <row r="210" ht="13.15" customHeight="1" x14ac:dyDescent="0.4"/>
    <row r="211" ht="13.15" customHeight="1" x14ac:dyDescent="0.4"/>
    <row r="212" ht="13.15" customHeight="1" x14ac:dyDescent="0.4"/>
    <row r="213" ht="13.15" customHeight="1" x14ac:dyDescent="0.4"/>
    <row r="214" ht="13.15" customHeight="1" x14ac:dyDescent="0.4"/>
    <row r="215" ht="13.15" customHeight="1" x14ac:dyDescent="0.4"/>
    <row r="216" ht="13.15" customHeight="1" x14ac:dyDescent="0.4"/>
    <row r="217" ht="13.15" customHeight="1" x14ac:dyDescent="0.4"/>
    <row r="218" ht="13.15" customHeight="1" x14ac:dyDescent="0.4"/>
    <row r="219" ht="13.15" customHeight="1" x14ac:dyDescent="0.4"/>
    <row r="220" ht="13.15" customHeight="1" x14ac:dyDescent="0.4"/>
    <row r="221" ht="13.15" customHeight="1" x14ac:dyDescent="0.4"/>
    <row r="222" ht="13.15" customHeight="1" x14ac:dyDescent="0.4"/>
    <row r="223" ht="13.15" customHeight="1" x14ac:dyDescent="0.4"/>
    <row r="224" ht="13.15" customHeight="1" x14ac:dyDescent="0.4"/>
    <row r="225" ht="13.15" customHeight="1" x14ac:dyDescent="0.4"/>
    <row r="226" ht="13.15" customHeight="1" x14ac:dyDescent="0.4"/>
    <row r="227" ht="13.15" customHeight="1" x14ac:dyDescent="0.4"/>
    <row r="228" ht="13.15" customHeight="1" x14ac:dyDescent="0.4"/>
    <row r="229" ht="13.15" customHeight="1" x14ac:dyDescent="0.4"/>
    <row r="230" ht="13.15" customHeight="1" x14ac:dyDescent="0.4"/>
    <row r="231" ht="13.15" customHeight="1" x14ac:dyDescent="0.4"/>
    <row r="232" ht="13.15" customHeight="1" x14ac:dyDescent="0.4"/>
    <row r="233" ht="13.15" customHeight="1" x14ac:dyDescent="0.4"/>
    <row r="234" ht="13.15" customHeight="1" x14ac:dyDescent="0.4"/>
    <row r="235" ht="13.15" customHeight="1" x14ac:dyDescent="0.4"/>
    <row r="236" ht="13.15" customHeight="1" x14ac:dyDescent="0.4"/>
    <row r="237" ht="13.15" customHeight="1" x14ac:dyDescent="0.4"/>
    <row r="238" ht="13.15" customHeight="1" x14ac:dyDescent="0.4"/>
    <row r="239" ht="13.15" customHeight="1" x14ac:dyDescent="0.4"/>
    <row r="240" ht="13.15" customHeight="1" x14ac:dyDescent="0.4"/>
    <row r="241" ht="13.15" customHeight="1" x14ac:dyDescent="0.4"/>
    <row r="242" ht="13.15" customHeight="1" x14ac:dyDescent="0.4"/>
    <row r="243" ht="13.15" customHeight="1" x14ac:dyDescent="0.4"/>
    <row r="244" ht="13.15" customHeight="1" x14ac:dyDescent="0.4"/>
    <row r="245" ht="13.15" customHeight="1" x14ac:dyDescent="0.4"/>
    <row r="246" ht="13.15" customHeight="1" x14ac:dyDescent="0.4"/>
    <row r="247" ht="13.15" customHeight="1" x14ac:dyDescent="0.4"/>
    <row r="248" ht="13.15" customHeight="1" x14ac:dyDescent="0.4"/>
    <row r="249" ht="13.15" customHeight="1" x14ac:dyDescent="0.4"/>
    <row r="250" ht="13.15" customHeight="1" x14ac:dyDescent="0.4"/>
    <row r="251" ht="13.15" customHeight="1" x14ac:dyDescent="0.4"/>
    <row r="252" ht="13.15" customHeight="1" x14ac:dyDescent="0.4"/>
    <row r="253" ht="13.15" customHeight="1" x14ac:dyDescent="0.4"/>
    <row r="254" ht="13.15" customHeight="1" x14ac:dyDescent="0.4"/>
    <row r="255" ht="13.15" customHeight="1" x14ac:dyDescent="0.4"/>
    <row r="256" ht="13.15" customHeight="1" x14ac:dyDescent="0.4"/>
    <row r="257" ht="13.15" customHeight="1" x14ac:dyDescent="0.4"/>
    <row r="258" ht="13.15" customHeight="1" x14ac:dyDescent="0.4"/>
    <row r="259" ht="13.15" customHeight="1" x14ac:dyDescent="0.4"/>
    <row r="260" ht="13.15" customHeight="1" x14ac:dyDescent="0.4"/>
    <row r="261" ht="13.15" customHeight="1" x14ac:dyDescent="0.4"/>
    <row r="262" ht="13.15" customHeight="1" x14ac:dyDescent="0.4"/>
    <row r="263" ht="13.15" customHeight="1" x14ac:dyDescent="0.4"/>
    <row r="264" ht="13.15" customHeight="1" x14ac:dyDescent="0.4"/>
    <row r="265" ht="13.15" customHeight="1" x14ac:dyDescent="0.4"/>
    <row r="266" ht="13.15" customHeight="1" x14ac:dyDescent="0.4"/>
    <row r="267" ht="13.15" customHeight="1" x14ac:dyDescent="0.4"/>
    <row r="268" ht="13.15" customHeight="1" x14ac:dyDescent="0.4"/>
    <row r="269" ht="13.15" customHeight="1" x14ac:dyDescent="0.4"/>
    <row r="270" ht="13.15" customHeight="1" x14ac:dyDescent="0.4"/>
    <row r="271" ht="13.15" customHeight="1" x14ac:dyDescent="0.4"/>
    <row r="272" ht="13.15" customHeight="1" x14ac:dyDescent="0.4"/>
    <row r="273" ht="13.15" customHeight="1" x14ac:dyDescent="0.4"/>
    <row r="274" ht="13.15" customHeight="1" x14ac:dyDescent="0.4"/>
    <row r="275" ht="13.15" customHeight="1" x14ac:dyDescent="0.4"/>
    <row r="276" ht="13.15" customHeight="1" x14ac:dyDescent="0.4"/>
    <row r="277" ht="13.15" customHeight="1" x14ac:dyDescent="0.4"/>
    <row r="278" ht="13.15" customHeight="1" x14ac:dyDescent="0.4"/>
    <row r="279" ht="13.15" customHeight="1" x14ac:dyDescent="0.4"/>
    <row r="280" ht="13.15" customHeight="1" x14ac:dyDescent="0.4"/>
    <row r="281" ht="13.15" customHeight="1" x14ac:dyDescent="0.4"/>
    <row r="282" ht="13.15" customHeight="1" x14ac:dyDescent="0.4"/>
    <row r="283" ht="13.15" customHeight="1" x14ac:dyDescent="0.4"/>
    <row r="284" ht="13.15" customHeight="1" x14ac:dyDescent="0.4"/>
    <row r="285" ht="13.15" customHeight="1" x14ac:dyDescent="0.4"/>
    <row r="286" ht="13.15" customHeight="1" x14ac:dyDescent="0.4"/>
    <row r="287" ht="13.15" customHeight="1" x14ac:dyDescent="0.4"/>
    <row r="288" ht="13.15" customHeight="1" x14ac:dyDescent="0.4"/>
    <row r="289" ht="13.15" customHeight="1" x14ac:dyDescent="0.4"/>
    <row r="290" ht="13.15" customHeight="1" x14ac:dyDescent="0.4"/>
    <row r="291" ht="13.15" customHeight="1" x14ac:dyDescent="0.4"/>
    <row r="292" ht="13.15" customHeight="1" x14ac:dyDescent="0.4"/>
    <row r="293" ht="13.15" customHeight="1" x14ac:dyDescent="0.4"/>
    <row r="294" ht="13.15" customHeight="1" x14ac:dyDescent="0.4"/>
    <row r="295" ht="13.15" customHeight="1" x14ac:dyDescent="0.4"/>
    <row r="296" ht="13.15" customHeight="1" x14ac:dyDescent="0.4"/>
    <row r="297" ht="13.15" customHeight="1" x14ac:dyDescent="0.4"/>
    <row r="298" ht="13.15" customHeight="1" x14ac:dyDescent="0.4"/>
    <row r="299" ht="13.15" customHeight="1" x14ac:dyDescent="0.4"/>
    <row r="300" ht="13.15" customHeight="1" x14ac:dyDescent="0.4"/>
    <row r="301" ht="13.15" customHeight="1" x14ac:dyDescent="0.4"/>
    <row r="302" ht="13.15" customHeight="1" x14ac:dyDescent="0.4"/>
    <row r="303" ht="13.15" customHeight="1" x14ac:dyDescent="0.4"/>
    <row r="304" ht="13.15" customHeight="1" x14ac:dyDescent="0.4"/>
    <row r="305" ht="13.15" customHeight="1" x14ac:dyDescent="0.4"/>
    <row r="306" ht="13.15" customHeight="1" x14ac:dyDescent="0.4"/>
    <row r="307" ht="13.15" customHeight="1" x14ac:dyDescent="0.4"/>
    <row r="308" ht="13.15" customHeight="1" x14ac:dyDescent="0.4"/>
    <row r="309" ht="13.15" customHeight="1" x14ac:dyDescent="0.4"/>
    <row r="310" ht="13.15" customHeight="1" x14ac:dyDescent="0.4"/>
    <row r="311" ht="13.15" customHeight="1" x14ac:dyDescent="0.4"/>
    <row r="312" ht="13.15" customHeight="1" x14ac:dyDescent="0.4"/>
    <row r="313" ht="13.15" customHeight="1" x14ac:dyDescent="0.4"/>
    <row r="314" ht="13.15" customHeight="1" x14ac:dyDescent="0.4"/>
    <row r="315" ht="13.15" customHeight="1" x14ac:dyDescent="0.4"/>
    <row r="316" ht="13.15" customHeight="1" x14ac:dyDescent="0.4"/>
    <row r="317" ht="13.15" customHeight="1" x14ac:dyDescent="0.4"/>
    <row r="318" ht="13.15" customHeight="1" x14ac:dyDescent="0.4"/>
    <row r="319" ht="13.15" customHeight="1" x14ac:dyDescent="0.4"/>
    <row r="320" ht="13.15" customHeight="1" x14ac:dyDescent="0.4"/>
    <row r="321" ht="13.15" customHeight="1" x14ac:dyDescent="0.4"/>
    <row r="322" ht="13.15" customHeight="1" x14ac:dyDescent="0.4"/>
    <row r="323" ht="13.15" customHeight="1" x14ac:dyDescent="0.4"/>
    <row r="324" ht="13.15" customHeight="1" x14ac:dyDescent="0.4"/>
    <row r="325" ht="13.15" customHeight="1" x14ac:dyDescent="0.4"/>
    <row r="326" ht="13.15" customHeight="1" x14ac:dyDescent="0.4"/>
    <row r="327" ht="13.15" customHeight="1" x14ac:dyDescent="0.4"/>
    <row r="328" ht="13.15" customHeight="1" x14ac:dyDescent="0.4"/>
    <row r="329" ht="13.15" customHeight="1" x14ac:dyDescent="0.4"/>
    <row r="330" ht="13.15" customHeight="1" x14ac:dyDescent="0.4"/>
    <row r="331" ht="13.15" customHeight="1" x14ac:dyDescent="0.4"/>
    <row r="332" ht="13.15" customHeight="1" x14ac:dyDescent="0.4"/>
    <row r="333" ht="13.15" customHeight="1" x14ac:dyDescent="0.4"/>
    <row r="334" ht="13.15" customHeight="1" x14ac:dyDescent="0.4"/>
    <row r="335" ht="13.15" customHeight="1" x14ac:dyDescent="0.4"/>
    <row r="336" ht="13.15" customHeight="1" x14ac:dyDescent="0.4"/>
    <row r="337" ht="13.15" customHeight="1" x14ac:dyDescent="0.4"/>
    <row r="338" ht="13.15" customHeight="1" x14ac:dyDescent="0.4"/>
    <row r="339" ht="13.15" customHeight="1" x14ac:dyDescent="0.4"/>
    <row r="340" ht="13.15" customHeight="1" x14ac:dyDescent="0.4"/>
    <row r="341" ht="13.15" customHeight="1" x14ac:dyDescent="0.4"/>
    <row r="342" ht="13.15" customHeight="1" x14ac:dyDescent="0.4"/>
    <row r="343" ht="13.15" customHeight="1" x14ac:dyDescent="0.4"/>
    <row r="344" ht="13.15" customHeight="1" x14ac:dyDescent="0.4"/>
    <row r="345" ht="13.15" customHeight="1" x14ac:dyDescent="0.4"/>
    <row r="346" ht="13.15" customHeight="1" x14ac:dyDescent="0.4"/>
    <row r="347" ht="13.15" customHeight="1" x14ac:dyDescent="0.4"/>
    <row r="348" ht="13.15" customHeight="1" x14ac:dyDescent="0.4"/>
    <row r="349" ht="13.15" customHeight="1" x14ac:dyDescent="0.4"/>
    <row r="350" ht="13.15" customHeight="1" x14ac:dyDescent="0.4"/>
    <row r="351" ht="13.15" customHeight="1" x14ac:dyDescent="0.4"/>
    <row r="352" ht="13.15" customHeight="1" x14ac:dyDescent="0.4"/>
    <row r="353" ht="13.15" customHeight="1" x14ac:dyDescent="0.4"/>
    <row r="354" ht="13.15" customHeight="1" x14ac:dyDescent="0.4"/>
    <row r="355" ht="13.15" customHeight="1" x14ac:dyDescent="0.4"/>
    <row r="356" ht="13.15" customHeight="1" x14ac:dyDescent="0.4"/>
    <row r="357" ht="13.15" customHeight="1" x14ac:dyDescent="0.4"/>
    <row r="358" ht="13.15" customHeight="1" x14ac:dyDescent="0.4"/>
    <row r="359" ht="13.15" customHeight="1" x14ac:dyDescent="0.4"/>
    <row r="360" ht="13.15" customHeight="1" x14ac:dyDescent="0.4"/>
    <row r="361" ht="13.15" customHeight="1" x14ac:dyDescent="0.4"/>
    <row r="362" ht="13.15" customHeight="1" x14ac:dyDescent="0.4"/>
    <row r="363" ht="13.15" customHeight="1" x14ac:dyDescent="0.4"/>
    <row r="364" ht="13.15" customHeight="1" x14ac:dyDescent="0.4"/>
    <row r="365" ht="13.15" customHeight="1" x14ac:dyDescent="0.4"/>
    <row r="366" ht="13.15" customHeight="1" x14ac:dyDescent="0.4"/>
    <row r="367" ht="13.15" customHeight="1" x14ac:dyDescent="0.4"/>
    <row r="368" ht="13.15" customHeight="1" x14ac:dyDescent="0.4"/>
    <row r="369" ht="13.15" customHeight="1" x14ac:dyDescent="0.4"/>
    <row r="370" ht="13.15" customHeight="1" x14ac:dyDescent="0.4"/>
    <row r="371" ht="13.15" customHeight="1" x14ac:dyDescent="0.4"/>
    <row r="372" ht="13.15" customHeight="1" x14ac:dyDescent="0.4"/>
    <row r="373" ht="13.15" customHeight="1" x14ac:dyDescent="0.4"/>
    <row r="374" ht="13.15" customHeight="1" x14ac:dyDescent="0.4"/>
    <row r="375" ht="13.15" customHeight="1" x14ac:dyDescent="0.4"/>
    <row r="376" ht="13.15" customHeight="1" x14ac:dyDescent="0.4"/>
    <row r="377" ht="13.15" customHeight="1" x14ac:dyDescent="0.4"/>
    <row r="378" ht="13.15" customHeight="1" x14ac:dyDescent="0.4"/>
    <row r="379" ht="13.15" customHeight="1" x14ac:dyDescent="0.4"/>
    <row r="380" ht="13.15" customHeight="1" x14ac:dyDescent="0.4"/>
    <row r="381" ht="13.15" customHeight="1" x14ac:dyDescent="0.4"/>
    <row r="382" ht="13.15" customHeight="1" x14ac:dyDescent="0.4"/>
    <row r="383" ht="13.15" customHeight="1" x14ac:dyDescent="0.4"/>
    <row r="384" ht="13.15" customHeight="1" x14ac:dyDescent="0.4"/>
    <row r="385" ht="13.15" customHeight="1" x14ac:dyDescent="0.4"/>
    <row r="386" ht="13.15" customHeight="1" x14ac:dyDescent="0.4"/>
    <row r="387" ht="13.15" customHeight="1" x14ac:dyDescent="0.4"/>
    <row r="388" ht="13.15" customHeight="1" x14ac:dyDescent="0.4"/>
    <row r="389" ht="13.15" customHeight="1" x14ac:dyDescent="0.4"/>
    <row r="390" ht="13.15" customHeight="1" x14ac:dyDescent="0.4"/>
    <row r="391" ht="13.15" customHeight="1" x14ac:dyDescent="0.4"/>
    <row r="392" ht="13.15" customHeight="1" x14ac:dyDescent="0.4"/>
    <row r="393" ht="13.15" customHeight="1" x14ac:dyDescent="0.4"/>
    <row r="394" ht="13.15" customHeight="1" x14ac:dyDescent="0.4"/>
    <row r="395" ht="13.15" customHeight="1" x14ac:dyDescent="0.4"/>
    <row r="396" ht="13.15" customHeight="1" x14ac:dyDescent="0.4"/>
    <row r="397" ht="13.15" customHeight="1" x14ac:dyDescent="0.4"/>
    <row r="398" ht="13.15" customHeight="1" x14ac:dyDescent="0.4"/>
    <row r="399" ht="13.15" customHeight="1" x14ac:dyDescent="0.4"/>
    <row r="400" ht="13.15" customHeight="1" x14ac:dyDescent="0.4"/>
    <row r="401" ht="13.15" customHeight="1" x14ac:dyDescent="0.4"/>
    <row r="402" ht="13.15" customHeight="1" x14ac:dyDescent="0.4"/>
    <row r="403" ht="13.15" customHeight="1" x14ac:dyDescent="0.4"/>
    <row r="404" ht="13.15" customHeight="1" x14ac:dyDescent="0.4"/>
    <row r="405" ht="13.15" customHeight="1" x14ac:dyDescent="0.4"/>
    <row r="406" ht="13.15" customHeight="1" x14ac:dyDescent="0.4"/>
    <row r="407" ht="13.15" customHeight="1" x14ac:dyDescent="0.4"/>
    <row r="408" ht="13.15" customHeight="1" x14ac:dyDescent="0.4"/>
    <row r="409" ht="13.15" customHeight="1" x14ac:dyDescent="0.4"/>
    <row r="410" ht="13.15" customHeight="1" x14ac:dyDescent="0.4"/>
    <row r="411" ht="13.15" customHeight="1" x14ac:dyDescent="0.4"/>
    <row r="412" ht="13.15" customHeight="1" x14ac:dyDescent="0.4"/>
    <row r="413" ht="13.15" customHeight="1" x14ac:dyDescent="0.4"/>
    <row r="414" ht="13.15" customHeight="1" x14ac:dyDescent="0.4"/>
    <row r="415" ht="13.15" customHeight="1" x14ac:dyDescent="0.4"/>
    <row r="416" ht="13.15" customHeight="1" x14ac:dyDescent="0.4"/>
    <row r="417" ht="13.15" customHeight="1" x14ac:dyDescent="0.4"/>
    <row r="418" ht="13.15" customHeight="1" x14ac:dyDescent="0.4"/>
    <row r="419" ht="13.15" customHeight="1" x14ac:dyDescent="0.4"/>
    <row r="420" ht="13.15" customHeight="1" x14ac:dyDescent="0.4"/>
    <row r="421" ht="13.15" customHeight="1" x14ac:dyDescent="0.4"/>
    <row r="422" ht="13.15" customHeight="1" x14ac:dyDescent="0.4"/>
    <row r="423" ht="13.15" customHeight="1" x14ac:dyDescent="0.4"/>
    <row r="424" ht="13.15" customHeight="1" x14ac:dyDescent="0.4"/>
    <row r="425" ht="13.15" customHeight="1" x14ac:dyDescent="0.4"/>
    <row r="426" ht="13.15" customHeight="1" x14ac:dyDescent="0.4"/>
    <row r="427" ht="13.15" customHeight="1" x14ac:dyDescent="0.4"/>
    <row r="428" ht="13.15" customHeight="1" x14ac:dyDescent="0.4"/>
    <row r="429" ht="13.15" customHeight="1" x14ac:dyDescent="0.4"/>
    <row r="430" ht="13.15" customHeight="1" x14ac:dyDescent="0.4"/>
    <row r="431" ht="13.15" customHeight="1" x14ac:dyDescent="0.4"/>
    <row r="432" ht="13.15" customHeight="1" x14ac:dyDescent="0.4"/>
    <row r="433" ht="13.15" customHeight="1" x14ac:dyDescent="0.4"/>
    <row r="434" ht="13.15" customHeight="1" x14ac:dyDescent="0.4"/>
    <row r="435" ht="13.15" customHeight="1" x14ac:dyDescent="0.4"/>
    <row r="436" ht="13.15" customHeight="1" x14ac:dyDescent="0.4"/>
    <row r="437" ht="13.15" customHeight="1" x14ac:dyDescent="0.4"/>
    <row r="438" ht="13.15" customHeight="1" x14ac:dyDescent="0.4"/>
    <row r="439" ht="13.15" customHeight="1" x14ac:dyDescent="0.4"/>
    <row r="440" ht="13.15" customHeight="1" x14ac:dyDescent="0.4"/>
    <row r="441" ht="13.15" customHeight="1" x14ac:dyDescent="0.4"/>
    <row r="442" ht="13.15" customHeight="1" x14ac:dyDescent="0.4"/>
    <row r="443" ht="13.15" customHeight="1" x14ac:dyDescent="0.4"/>
    <row r="444" ht="13.15" customHeight="1" x14ac:dyDescent="0.4"/>
    <row r="445" ht="13.15" customHeight="1" x14ac:dyDescent="0.4"/>
    <row r="446" ht="13.15" customHeight="1" x14ac:dyDescent="0.4"/>
    <row r="447" ht="13.15" customHeight="1" x14ac:dyDescent="0.4"/>
    <row r="448" ht="13.15" customHeight="1" x14ac:dyDescent="0.4"/>
    <row r="449" ht="13.15" customHeight="1" x14ac:dyDescent="0.4"/>
    <row r="450" ht="13.15" customHeight="1" x14ac:dyDescent="0.4"/>
    <row r="451" ht="13.15" customHeight="1" x14ac:dyDescent="0.4"/>
    <row r="452" ht="13.15" customHeight="1" x14ac:dyDescent="0.4"/>
    <row r="453" ht="13.15" customHeight="1" x14ac:dyDescent="0.4"/>
    <row r="454" ht="13.15" customHeight="1" x14ac:dyDescent="0.4"/>
    <row r="455" ht="13.15" customHeight="1" x14ac:dyDescent="0.4"/>
    <row r="456" ht="13.15" customHeight="1" x14ac:dyDescent="0.4"/>
    <row r="457" ht="13.15" customHeight="1" x14ac:dyDescent="0.4"/>
    <row r="458" ht="13.15" customHeight="1" x14ac:dyDescent="0.4"/>
    <row r="459" ht="13.15" customHeight="1" x14ac:dyDescent="0.4"/>
    <row r="460" ht="13.15" customHeight="1" x14ac:dyDescent="0.4"/>
    <row r="461" ht="13.15" customHeight="1" x14ac:dyDescent="0.4"/>
    <row r="462" ht="13.15" customHeight="1" x14ac:dyDescent="0.4"/>
    <row r="463" ht="13.15" customHeight="1" x14ac:dyDescent="0.4"/>
    <row r="464" ht="13.15" customHeight="1" x14ac:dyDescent="0.4"/>
    <row r="465" ht="13.15" customHeight="1" x14ac:dyDescent="0.4"/>
    <row r="466" ht="13.15" customHeight="1" x14ac:dyDescent="0.4"/>
    <row r="467" ht="13.15" customHeight="1" x14ac:dyDescent="0.4"/>
    <row r="468" ht="13.15" customHeight="1" x14ac:dyDescent="0.4"/>
    <row r="469" ht="13.15" customHeight="1" x14ac:dyDescent="0.4"/>
    <row r="470" ht="13.15" customHeight="1" x14ac:dyDescent="0.4"/>
    <row r="471" ht="13.15" customHeight="1" x14ac:dyDescent="0.4"/>
    <row r="472" ht="13.15" customHeight="1" x14ac:dyDescent="0.4"/>
    <row r="473" ht="13.15" customHeight="1" x14ac:dyDescent="0.4"/>
    <row r="474" ht="13.15" customHeight="1" x14ac:dyDescent="0.4"/>
    <row r="475" ht="13.15" customHeight="1" x14ac:dyDescent="0.4"/>
    <row r="476" ht="13.15" customHeight="1" x14ac:dyDescent="0.4"/>
    <row r="477" ht="13.15" customHeight="1" x14ac:dyDescent="0.4"/>
    <row r="478" ht="13.15" customHeight="1" x14ac:dyDescent="0.4"/>
    <row r="479" ht="13.15" customHeight="1" x14ac:dyDescent="0.4"/>
    <row r="480" ht="13.15" customHeight="1" x14ac:dyDescent="0.4"/>
    <row r="481" ht="13.15" customHeight="1" x14ac:dyDescent="0.4"/>
    <row r="482" ht="13.15" customHeight="1" x14ac:dyDescent="0.4"/>
    <row r="483" ht="13.15" customHeight="1" x14ac:dyDescent="0.4"/>
    <row r="484" ht="13.15" customHeight="1" x14ac:dyDescent="0.4"/>
    <row r="485" ht="13.15" customHeight="1" x14ac:dyDescent="0.4"/>
    <row r="486" ht="13.15" customHeight="1" x14ac:dyDescent="0.4"/>
    <row r="487" ht="13.15" customHeight="1" x14ac:dyDescent="0.4"/>
    <row r="488" ht="13.15" customHeight="1" x14ac:dyDescent="0.4"/>
    <row r="489" ht="13.15" customHeight="1" x14ac:dyDescent="0.4"/>
    <row r="490" ht="13.15" customHeight="1" x14ac:dyDescent="0.4"/>
    <row r="491" ht="13.15" customHeight="1" x14ac:dyDescent="0.4"/>
    <row r="492" ht="13.15" customHeight="1" x14ac:dyDescent="0.4"/>
    <row r="493" ht="13.15" customHeight="1" x14ac:dyDescent="0.4"/>
    <row r="494" ht="13.15" customHeight="1" x14ac:dyDescent="0.4"/>
    <row r="495" ht="13.15" customHeight="1" x14ac:dyDescent="0.4"/>
    <row r="496" ht="13.15" customHeight="1" x14ac:dyDescent="0.4"/>
    <row r="497" ht="13.15" customHeight="1" x14ac:dyDescent="0.4"/>
    <row r="498" ht="13.15" customHeight="1" x14ac:dyDescent="0.4"/>
    <row r="499" ht="13.15" customHeight="1" x14ac:dyDescent="0.4"/>
    <row r="500" ht="13.15" customHeight="1" x14ac:dyDescent="0.4"/>
    <row r="501" ht="13.15" customHeight="1" x14ac:dyDescent="0.4"/>
    <row r="502" ht="13.15" customHeight="1" x14ac:dyDescent="0.4"/>
    <row r="503" ht="13.15" customHeight="1" x14ac:dyDescent="0.4"/>
    <row r="504" ht="13.15" customHeight="1" x14ac:dyDescent="0.4"/>
    <row r="505" ht="13.15" customHeight="1" x14ac:dyDescent="0.4"/>
    <row r="506" ht="13.15" customHeight="1" x14ac:dyDescent="0.4"/>
    <row r="507" ht="13.15" customHeight="1" x14ac:dyDescent="0.4"/>
    <row r="508" ht="13.15" customHeight="1" x14ac:dyDescent="0.4"/>
    <row r="509" ht="13.15" customHeight="1" x14ac:dyDescent="0.4"/>
    <row r="510" ht="13.15" customHeight="1" x14ac:dyDescent="0.4"/>
    <row r="511" ht="13.15" customHeight="1" x14ac:dyDescent="0.4"/>
    <row r="512" ht="13.15" customHeight="1" x14ac:dyDescent="0.4"/>
    <row r="513" ht="13.15" customHeight="1" x14ac:dyDescent="0.4"/>
    <row r="514" ht="13.15" customHeight="1" x14ac:dyDescent="0.4"/>
    <row r="515" ht="13.15" customHeight="1" x14ac:dyDescent="0.4"/>
    <row r="516" ht="13.15" customHeight="1" x14ac:dyDescent="0.4"/>
    <row r="517" ht="13.15" customHeight="1" x14ac:dyDescent="0.4"/>
    <row r="518" ht="13.15" customHeight="1" x14ac:dyDescent="0.4"/>
    <row r="519" ht="13.15" customHeight="1" x14ac:dyDescent="0.4"/>
    <row r="520" ht="13.15" customHeight="1" x14ac:dyDescent="0.4"/>
    <row r="521" ht="13.15" customHeight="1" x14ac:dyDescent="0.4"/>
    <row r="522" ht="13.15" customHeight="1" x14ac:dyDescent="0.4"/>
    <row r="523" ht="13.15" customHeight="1" x14ac:dyDescent="0.4"/>
    <row r="524" ht="13.15" customHeight="1" x14ac:dyDescent="0.4"/>
    <row r="525" ht="13.15" customHeight="1" x14ac:dyDescent="0.4"/>
    <row r="526" ht="13.15" customHeight="1" x14ac:dyDescent="0.4"/>
    <row r="527" ht="13.15" customHeight="1" x14ac:dyDescent="0.4"/>
    <row r="528" ht="13.15" customHeight="1" x14ac:dyDescent="0.4"/>
    <row r="529" ht="13.15" customHeight="1" x14ac:dyDescent="0.4"/>
    <row r="530" ht="13.15" customHeight="1" x14ac:dyDescent="0.4"/>
    <row r="531" ht="13.15" customHeight="1" x14ac:dyDescent="0.4"/>
    <row r="532" ht="13.15" customHeight="1" x14ac:dyDescent="0.4"/>
    <row r="533" ht="13.15" customHeight="1" x14ac:dyDescent="0.4"/>
    <row r="534" ht="13.15" customHeight="1" x14ac:dyDescent="0.4"/>
    <row r="535" ht="13.15" customHeight="1" x14ac:dyDescent="0.4"/>
    <row r="536" ht="13.15" customHeight="1" x14ac:dyDescent="0.4"/>
    <row r="537" ht="13.15" customHeight="1" x14ac:dyDescent="0.4"/>
    <row r="538" ht="13.15" customHeight="1" x14ac:dyDescent="0.4"/>
    <row r="539" ht="13.15" customHeight="1" x14ac:dyDescent="0.4"/>
    <row r="540" ht="13.15" customHeight="1" x14ac:dyDescent="0.4"/>
    <row r="541" ht="13.15" customHeight="1" x14ac:dyDescent="0.4"/>
    <row r="542" ht="13.15" customHeight="1" x14ac:dyDescent="0.4"/>
    <row r="543" ht="13.15" customHeight="1" x14ac:dyDescent="0.4"/>
    <row r="544" ht="13.15" customHeight="1" x14ac:dyDescent="0.4"/>
    <row r="545" ht="13.15" customHeight="1" x14ac:dyDescent="0.4"/>
    <row r="546" ht="13.15" customHeight="1" x14ac:dyDescent="0.4"/>
    <row r="547" ht="13.15" customHeight="1" x14ac:dyDescent="0.4"/>
    <row r="548" ht="13.15" customHeight="1" x14ac:dyDescent="0.4"/>
    <row r="549" ht="13.15" customHeight="1" x14ac:dyDescent="0.4"/>
    <row r="550" ht="13.15" customHeight="1" x14ac:dyDescent="0.4"/>
    <row r="551" ht="13.15" customHeight="1" x14ac:dyDescent="0.4"/>
    <row r="552" ht="13.15" customHeight="1" x14ac:dyDescent="0.4"/>
    <row r="553" ht="13.15" customHeight="1" x14ac:dyDescent="0.4"/>
    <row r="554" ht="13.15" customHeight="1" x14ac:dyDescent="0.4"/>
    <row r="555" ht="13.15" customHeight="1" x14ac:dyDescent="0.4"/>
    <row r="556" ht="13.15" customHeight="1" x14ac:dyDescent="0.4"/>
    <row r="557" ht="13.15" customHeight="1" x14ac:dyDescent="0.4"/>
    <row r="558" ht="13.15" customHeight="1" x14ac:dyDescent="0.4"/>
    <row r="559" ht="13.15" customHeight="1" x14ac:dyDescent="0.4"/>
    <row r="560" ht="13.15" customHeight="1" x14ac:dyDescent="0.4"/>
    <row r="561" ht="13.15" customHeight="1" x14ac:dyDescent="0.4"/>
    <row r="562" ht="13.15" customHeight="1" x14ac:dyDescent="0.4"/>
    <row r="563" ht="13.15" customHeight="1" x14ac:dyDescent="0.4"/>
    <row r="564" ht="13.15" customHeight="1" x14ac:dyDescent="0.4"/>
    <row r="565" ht="13.15" customHeight="1" x14ac:dyDescent="0.4"/>
    <row r="566" ht="13.15" customHeight="1" x14ac:dyDescent="0.4"/>
    <row r="567" ht="13.15" customHeight="1" x14ac:dyDescent="0.4"/>
    <row r="568" ht="13.15" customHeight="1" x14ac:dyDescent="0.4"/>
    <row r="569" ht="13.15" customHeight="1" x14ac:dyDescent="0.4"/>
    <row r="570" ht="13.15" customHeight="1" x14ac:dyDescent="0.4"/>
    <row r="571" ht="13.15" customHeight="1" x14ac:dyDescent="0.4"/>
    <row r="572" ht="13.15" customHeight="1" x14ac:dyDescent="0.4"/>
    <row r="573" ht="13.15" customHeight="1" x14ac:dyDescent="0.4"/>
    <row r="574" ht="13.15" customHeight="1" x14ac:dyDescent="0.4"/>
    <row r="575" ht="13.15" customHeight="1" x14ac:dyDescent="0.4"/>
    <row r="576" ht="13.15" customHeight="1" x14ac:dyDescent="0.4"/>
    <row r="577" ht="13.15" customHeight="1" x14ac:dyDescent="0.4"/>
    <row r="578" ht="13.15" customHeight="1" x14ac:dyDescent="0.4"/>
    <row r="579" ht="13.15" customHeight="1" x14ac:dyDescent="0.4"/>
    <row r="580" ht="13.15" customHeight="1" x14ac:dyDescent="0.4"/>
    <row r="581" ht="13.15" customHeight="1" x14ac:dyDescent="0.4"/>
    <row r="582" ht="13.15" customHeight="1" x14ac:dyDescent="0.4"/>
    <row r="583" ht="13.15" customHeight="1" x14ac:dyDescent="0.4"/>
    <row r="584" ht="13.15" customHeight="1" x14ac:dyDescent="0.4"/>
    <row r="585" ht="13.15" customHeight="1" x14ac:dyDescent="0.4"/>
    <row r="586" ht="13.15" customHeight="1" x14ac:dyDescent="0.4"/>
    <row r="587" ht="13.15" customHeight="1" x14ac:dyDescent="0.4"/>
    <row r="588" ht="13.15" customHeight="1" x14ac:dyDescent="0.4"/>
    <row r="589" ht="13.15" customHeight="1" x14ac:dyDescent="0.4"/>
    <row r="590" ht="13.15" customHeight="1" x14ac:dyDescent="0.4"/>
    <row r="591" ht="13.15" customHeight="1" x14ac:dyDescent="0.4"/>
    <row r="592" ht="13.15" customHeight="1" x14ac:dyDescent="0.4"/>
    <row r="593" ht="13.15" customHeight="1" x14ac:dyDescent="0.4"/>
    <row r="594" ht="13.15" customHeight="1" x14ac:dyDescent="0.4"/>
    <row r="595" ht="13.15" customHeight="1" x14ac:dyDescent="0.4"/>
    <row r="596" ht="13.15" customHeight="1" x14ac:dyDescent="0.4"/>
    <row r="597" ht="13.15" customHeight="1" x14ac:dyDescent="0.4"/>
    <row r="598" ht="13.15" customHeight="1" x14ac:dyDescent="0.4"/>
    <row r="599" ht="13.15" customHeight="1" x14ac:dyDescent="0.4"/>
    <row r="600" ht="13.15" customHeight="1" x14ac:dyDescent="0.4"/>
    <row r="601" ht="13.15" customHeight="1" x14ac:dyDescent="0.4"/>
    <row r="602" ht="13.15" customHeight="1" x14ac:dyDescent="0.4"/>
    <row r="603" ht="13.15" customHeight="1" x14ac:dyDescent="0.4"/>
    <row r="604" ht="13.15" customHeight="1" x14ac:dyDescent="0.4"/>
    <row r="605" ht="13.15" customHeight="1" x14ac:dyDescent="0.4"/>
    <row r="606" ht="13.15" customHeight="1" x14ac:dyDescent="0.4"/>
    <row r="607" ht="13.15" customHeight="1" x14ac:dyDescent="0.4"/>
    <row r="608" ht="13.15" customHeight="1" x14ac:dyDescent="0.4"/>
    <row r="609" ht="13.15" customHeight="1" x14ac:dyDescent="0.4"/>
    <row r="610" ht="13.15" customHeight="1" x14ac:dyDescent="0.4"/>
    <row r="611" ht="13.15" customHeight="1" x14ac:dyDescent="0.4"/>
    <row r="612" ht="13.15" customHeight="1" x14ac:dyDescent="0.4"/>
    <row r="613" ht="13.15" customHeight="1" x14ac:dyDescent="0.4"/>
    <row r="614" ht="13.15" customHeight="1" x14ac:dyDescent="0.4"/>
    <row r="615" ht="13.15" customHeight="1" x14ac:dyDescent="0.4"/>
    <row r="616" ht="13.15" customHeight="1" x14ac:dyDescent="0.4"/>
    <row r="617" ht="13.15" customHeight="1" x14ac:dyDescent="0.4"/>
    <row r="618" ht="13.15" customHeight="1" x14ac:dyDescent="0.4"/>
    <row r="619" ht="13.15" customHeight="1" x14ac:dyDescent="0.4"/>
    <row r="620" ht="13.15" customHeight="1" x14ac:dyDescent="0.4"/>
    <row r="621" ht="13.15" customHeight="1" x14ac:dyDescent="0.4"/>
    <row r="622" ht="13.15" customHeight="1" x14ac:dyDescent="0.4"/>
    <row r="623" ht="13.15" customHeight="1" x14ac:dyDescent="0.4"/>
    <row r="624" ht="13.15" customHeight="1" x14ac:dyDescent="0.4"/>
    <row r="625" ht="13.15" customHeight="1" x14ac:dyDescent="0.4"/>
    <row r="626" ht="13.15" customHeight="1" x14ac:dyDescent="0.4"/>
    <row r="627" ht="13.15" customHeight="1" x14ac:dyDescent="0.4"/>
    <row r="628" ht="13.15" customHeight="1" x14ac:dyDescent="0.4"/>
    <row r="629" ht="13.15" customHeight="1" x14ac:dyDescent="0.4"/>
    <row r="630" ht="13.15" customHeight="1" x14ac:dyDescent="0.4"/>
    <row r="631" ht="13.15" customHeight="1" x14ac:dyDescent="0.4"/>
    <row r="632" ht="13.15" customHeight="1" x14ac:dyDescent="0.4"/>
    <row r="633" ht="13.15" customHeight="1" x14ac:dyDescent="0.4"/>
    <row r="634" ht="13.15" customHeight="1" x14ac:dyDescent="0.4"/>
    <row r="635" ht="13.15" customHeight="1" x14ac:dyDescent="0.4"/>
    <row r="636" ht="13.15" customHeight="1" x14ac:dyDescent="0.4"/>
    <row r="637" ht="13.15" customHeight="1" x14ac:dyDescent="0.4"/>
    <row r="638" ht="13.15" customHeight="1" x14ac:dyDescent="0.4"/>
    <row r="639" ht="13.15" customHeight="1" x14ac:dyDescent="0.4"/>
    <row r="640" ht="13.15" customHeight="1" x14ac:dyDescent="0.4"/>
    <row r="641" ht="13.15" customHeight="1" x14ac:dyDescent="0.4"/>
    <row r="642" ht="13.15" customHeight="1" x14ac:dyDescent="0.4"/>
    <row r="643" ht="13.15" customHeight="1" x14ac:dyDescent="0.4"/>
    <row r="644" ht="13.15" customHeight="1" x14ac:dyDescent="0.4"/>
    <row r="645" ht="13.15" customHeight="1" x14ac:dyDescent="0.4"/>
    <row r="646" ht="13.15" customHeight="1" x14ac:dyDescent="0.4"/>
    <row r="647" ht="13.15" customHeight="1" x14ac:dyDescent="0.4"/>
    <row r="648" ht="13.15" customHeight="1" x14ac:dyDescent="0.4"/>
    <row r="649" ht="13.15" customHeight="1" x14ac:dyDescent="0.4"/>
    <row r="650" ht="13.15" customHeight="1" x14ac:dyDescent="0.4"/>
    <row r="651" ht="13.15" customHeight="1" x14ac:dyDescent="0.4"/>
    <row r="652" ht="13.15" customHeight="1" x14ac:dyDescent="0.4"/>
    <row r="653" ht="13.15" customHeight="1" x14ac:dyDescent="0.4"/>
    <row r="654" ht="13.15" customHeight="1" x14ac:dyDescent="0.4"/>
    <row r="655" ht="13.15" customHeight="1" x14ac:dyDescent="0.4"/>
    <row r="656" ht="13.15" customHeight="1" x14ac:dyDescent="0.4"/>
    <row r="657" ht="13.15" customHeight="1" x14ac:dyDescent="0.4"/>
    <row r="658" ht="13.15" customHeight="1" x14ac:dyDescent="0.4"/>
    <row r="659" ht="13.15" customHeight="1" x14ac:dyDescent="0.4"/>
    <row r="660" ht="13.15" customHeight="1" x14ac:dyDescent="0.4"/>
    <row r="661" ht="13.15" customHeight="1" x14ac:dyDescent="0.4"/>
    <row r="662" ht="13.15" customHeight="1" x14ac:dyDescent="0.4"/>
    <row r="663" ht="13.15" customHeight="1" x14ac:dyDescent="0.4"/>
    <row r="664" ht="13.15" customHeight="1" x14ac:dyDescent="0.4"/>
    <row r="665" ht="13.15" customHeight="1" x14ac:dyDescent="0.4"/>
    <row r="666" ht="13.15" customHeight="1" x14ac:dyDescent="0.4"/>
    <row r="667" ht="13.15" customHeight="1" x14ac:dyDescent="0.4"/>
    <row r="668" ht="13.15" customHeight="1" x14ac:dyDescent="0.4"/>
    <row r="669" ht="13.15" customHeight="1" x14ac:dyDescent="0.4"/>
    <row r="670" ht="13.15" customHeight="1" x14ac:dyDescent="0.4"/>
    <row r="671" ht="13.15" customHeight="1" x14ac:dyDescent="0.4"/>
    <row r="672" ht="13.15" customHeight="1" x14ac:dyDescent="0.4"/>
    <row r="673" ht="13.15" customHeight="1" x14ac:dyDescent="0.4"/>
    <row r="674" ht="13.15" customHeight="1" x14ac:dyDescent="0.4"/>
    <row r="675" ht="13.15" customHeight="1" x14ac:dyDescent="0.4"/>
    <row r="676" ht="13.15" customHeight="1" x14ac:dyDescent="0.4"/>
    <row r="677" ht="13.15" customHeight="1" x14ac:dyDescent="0.4"/>
    <row r="678" ht="13.15" customHeight="1" x14ac:dyDescent="0.4"/>
    <row r="679" ht="13.15" customHeight="1" x14ac:dyDescent="0.4"/>
    <row r="680" ht="13.15" customHeight="1" x14ac:dyDescent="0.4"/>
    <row r="681" ht="13.15" customHeight="1" x14ac:dyDescent="0.4"/>
    <row r="682" ht="13.15" customHeight="1" x14ac:dyDescent="0.4"/>
    <row r="683" ht="13.15" customHeight="1" x14ac:dyDescent="0.4"/>
    <row r="684" ht="13.15" customHeight="1" x14ac:dyDescent="0.4"/>
    <row r="685" ht="13.15" customHeight="1" x14ac:dyDescent="0.4"/>
    <row r="686" ht="13.15" customHeight="1" x14ac:dyDescent="0.4"/>
    <row r="687" ht="13.15" customHeight="1" x14ac:dyDescent="0.4"/>
    <row r="688" ht="13.15" customHeight="1" x14ac:dyDescent="0.4"/>
    <row r="689" ht="13.15" customHeight="1" x14ac:dyDescent="0.4"/>
    <row r="690" ht="13.15" customHeight="1" x14ac:dyDescent="0.4"/>
    <row r="691" ht="13.15" customHeight="1" x14ac:dyDescent="0.4"/>
    <row r="692" ht="13.15" customHeight="1" x14ac:dyDescent="0.4"/>
    <row r="693" ht="13.15" customHeight="1" x14ac:dyDescent="0.4"/>
    <row r="694" ht="13.15" customHeight="1" x14ac:dyDescent="0.4"/>
    <row r="695" ht="13.15" customHeight="1" x14ac:dyDescent="0.4"/>
    <row r="696" ht="13.15" customHeight="1" x14ac:dyDescent="0.4"/>
    <row r="697" ht="13.15" customHeight="1" x14ac:dyDescent="0.4"/>
    <row r="698" ht="13.15" customHeight="1" x14ac:dyDescent="0.4"/>
    <row r="699" ht="13.15" customHeight="1" x14ac:dyDescent="0.4"/>
    <row r="700" ht="13.15" customHeight="1" x14ac:dyDescent="0.4"/>
    <row r="701" ht="13.15" customHeight="1" x14ac:dyDescent="0.4"/>
    <row r="702" ht="13.15" customHeight="1" x14ac:dyDescent="0.4"/>
    <row r="703" ht="13.15" customHeight="1" x14ac:dyDescent="0.4"/>
    <row r="704" ht="13.15" customHeight="1" x14ac:dyDescent="0.4"/>
    <row r="705" ht="13.15" customHeight="1" x14ac:dyDescent="0.4"/>
    <row r="706" ht="13.15" customHeight="1" x14ac:dyDescent="0.4"/>
    <row r="707" ht="13.15" customHeight="1" x14ac:dyDescent="0.4"/>
    <row r="708" ht="13.15" customHeight="1" x14ac:dyDescent="0.4"/>
    <row r="709" ht="13.15" customHeight="1" x14ac:dyDescent="0.4"/>
    <row r="710" ht="13.15" customHeight="1" x14ac:dyDescent="0.4"/>
    <row r="711" ht="13.15" customHeight="1" x14ac:dyDescent="0.4"/>
    <row r="712" ht="13.15" customHeight="1" x14ac:dyDescent="0.4"/>
    <row r="713" ht="13.15" customHeight="1" x14ac:dyDescent="0.4"/>
    <row r="714" ht="13.15" customHeight="1" x14ac:dyDescent="0.4"/>
    <row r="715" ht="13.15" customHeight="1" x14ac:dyDescent="0.4"/>
    <row r="716" ht="13.15" customHeight="1" x14ac:dyDescent="0.4"/>
    <row r="717" ht="13.15" customHeight="1" x14ac:dyDescent="0.4"/>
    <row r="718" ht="13.15" customHeight="1" x14ac:dyDescent="0.4"/>
    <row r="719" ht="13.15" customHeight="1" x14ac:dyDescent="0.4"/>
    <row r="720" ht="13.15" customHeight="1" x14ac:dyDescent="0.4"/>
    <row r="721" ht="13.15" customHeight="1" x14ac:dyDescent="0.4"/>
    <row r="722" ht="13.15" customHeight="1" x14ac:dyDescent="0.4"/>
    <row r="723" ht="13.15" customHeight="1" x14ac:dyDescent="0.4"/>
    <row r="724" ht="13.15" customHeight="1" x14ac:dyDescent="0.4"/>
    <row r="725" ht="13.15" customHeight="1" x14ac:dyDescent="0.4"/>
    <row r="726" ht="13.15" customHeight="1" x14ac:dyDescent="0.4"/>
    <row r="727" ht="13.15" customHeight="1" x14ac:dyDescent="0.4"/>
    <row r="728" ht="13.15" customHeight="1" x14ac:dyDescent="0.4"/>
    <row r="729" ht="13.15" customHeight="1" x14ac:dyDescent="0.4"/>
    <row r="730" ht="13.15" customHeight="1" x14ac:dyDescent="0.4"/>
    <row r="731" ht="13.15" customHeight="1" x14ac:dyDescent="0.4"/>
    <row r="732" ht="13.15" customHeight="1" x14ac:dyDescent="0.4"/>
    <row r="733" ht="13.15" customHeight="1" x14ac:dyDescent="0.4"/>
    <row r="734" ht="13.15" customHeight="1" x14ac:dyDescent="0.4"/>
    <row r="735" ht="13.15" customHeight="1" x14ac:dyDescent="0.4"/>
    <row r="736" ht="13.15" customHeight="1" x14ac:dyDescent="0.4"/>
    <row r="737" ht="13.15" customHeight="1" x14ac:dyDescent="0.4"/>
    <row r="738" ht="13.15" customHeight="1" x14ac:dyDescent="0.4"/>
    <row r="739" ht="13.15" customHeight="1" x14ac:dyDescent="0.4"/>
    <row r="740" ht="13.15" customHeight="1" x14ac:dyDescent="0.4"/>
    <row r="741" ht="13.15" customHeight="1" x14ac:dyDescent="0.4"/>
    <row r="742" ht="13.15" customHeight="1" x14ac:dyDescent="0.4"/>
    <row r="743" ht="13.15" customHeight="1" x14ac:dyDescent="0.4"/>
    <row r="744" ht="13.15" customHeight="1" x14ac:dyDescent="0.4"/>
    <row r="745" ht="13.15" customHeight="1" x14ac:dyDescent="0.4"/>
    <row r="746" ht="13.15" customHeight="1" x14ac:dyDescent="0.4"/>
    <row r="747" ht="13.15" customHeight="1" x14ac:dyDescent="0.4"/>
    <row r="748" ht="13.15" customHeight="1" x14ac:dyDescent="0.4"/>
    <row r="749" ht="13.15" customHeight="1" x14ac:dyDescent="0.4"/>
    <row r="750" ht="13.15" customHeight="1" x14ac:dyDescent="0.4"/>
    <row r="751" ht="13.15" customHeight="1" x14ac:dyDescent="0.4"/>
    <row r="752" ht="13.15" customHeight="1" x14ac:dyDescent="0.4"/>
    <row r="753" ht="13.15" customHeight="1" x14ac:dyDescent="0.4"/>
    <row r="754" ht="13.15" customHeight="1" x14ac:dyDescent="0.4"/>
    <row r="755" ht="13.15" customHeight="1" x14ac:dyDescent="0.4"/>
    <row r="756" ht="13.15" customHeight="1" x14ac:dyDescent="0.4"/>
    <row r="757" ht="13.15" customHeight="1" x14ac:dyDescent="0.4"/>
    <row r="758" ht="13.15" customHeight="1" x14ac:dyDescent="0.4"/>
    <row r="759" ht="13.15" customHeight="1" x14ac:dyDescent="0.4"/>
    <row r="760" ht="13.15" customHeight="1" x14ac:dyDescent="0.4"/>
    <row r="761" ht="13.15" customHeight="1" x14ac:dyDescent="0.4"/>
    <row r="762" ht="13.15" customHeight="1" x14ac:dyDescent="0.4"/>
    <row r="763" ht="13.15" customHeight="1" x14ac:dyDescent="0.4"/>
    <row r="764" ht="13.15" customHeight="1" x14ac:dyDescent="0.4"/>
    <row r="765" ht="13.15" customHeight="1" x14ac:dyDescent="0.4"/>
    <row r="766" ht="13.15" customHeight="1" x14ac:dyDescent="0.4"/>
    <row r="767" ht="13.15" customHeight="1" x14ac:dyDescent="0.4"/>
    <row r="768" ht="13.15" customHeight="1" x14ac:dyDescent="0.4"/>
    <row r="769" ht="13.15" customHeight="1" x14ac:dyDescent="0.4"/>
    <row r="770" ht="13.15" customHeight="1" x14ac:dyDescent="0.4"/>
    <row r="771" ht="13.15" customHeight="1" x14ac:dyDescent="0.4"/>
    <row r="772" ht="13.15" customHeight="1" x14ac:dyDescent="0.4"/>
    <row r="773" ht="13.15" customHeight="1" x14ac:dyDescent="0.4"/>
    <row r="774" ht="13.15" customHeight="1" x14ac:dyDescent="0.4"/>
    <row r="775" ht="13.15" customHeight="1" x14ac:dyDescent="0.4"/>
    <row r="776" ht="13.15" customHeight="1" x14ac:dyDescent="0.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6328125" defaultRowHeight="14.25" x14ac:dyDescent="0.45"/>
  <cols>
    <col min="1" max="1" width="25.1328125" customWidth="1"/>
    <col min="2" max="2" width="9.597656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4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4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4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4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4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4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>
      <selection activeCell="E2" sqref="E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Vehicles'!C14*'Commercial Vehicles'!$B16</f>
        <v>25920.503200000003</v>
      </c>
      <c r="E2" s="54">
        <f>'Commercial Vehicles'!$B4*'Commercial Vehicles'!D14*'Commercial Vehicles'!$B16</f>
        <v>25177.910400000001</v>
      </c>
      <c r="F2" s="54">
        <f>'Commercial Vehicles'!$B4*'Commercial Vehicles'!E14*'Commercial Vehicles'!$B16</f>
        <v>24444.571199999998</v>
      </c>
      <c r="G2" s="54">
        <f>'Commercial Vehicles'!$B4*'Commercial Vehicles'!F14*'Commercial Vehicles'!$B16</f>
        <v>23732.594400000002</v>
      </c>
      <c r="H2" s="54">
        <f>'Commercial Vehicles'!$B4*'Commercial Vehicles'!G14*'Commercial Vehicles'!$B16</f>
        <v>23041.360800000002</v>
      </c>
      <c r="I2" s="54">
        <f>'Commercial Vehicles'!$B4*'Commercial Vehicles'!H14*'Commercial Vehicles'!$B16</f>
        <v>22370.251200000002</v>
      </c>
      <c r="J2" s="54">
        <f>'Commercial Vehicles'!$B4*'Commercial Vehicles'!I14*'Commercial Vehicles'!$B16</f>
        <v>21718.680799999998</v>
      </c>
      <c r="K2" s="54">
        <f>'Commercial Vehicles'!$B4*'Commercial Vehicles'!J14*'Commercial Vehicles'!$B16</f>
        <v>21086.099199999997</v>
      </c>
      <c r="L2" s="54">
        <f>'Commercial Vehicles'!$B4*'Commercial Vehicles'!K14*'Commercial Vehicles'!$B16</f>
        <v>20471.955999999998</v>
      </c>
      <c r="M2" s="54">
        <f>'Commercial Vehicles'!$B4*'Commercial Vehicles'!L14*'Commercial Vehicles'!$B16</f>
        <v>19875.666399999998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25920.503200000003</v>
      </c>
      <c r="E6">
        <f t="shared" si="0"/>
        <v>25177.910400000001</v>
      </c>
      <c r="F6">
        <f t="shared" si="0"/>
        <v>24444.571199999998</v>
      </c>
      <c r="G6">
        <f t="shared" si="0"/>
        <v>23732.594400000002</v>
      </c>
      <c r="H6">
        <f t="shared" si="0"/>
        <v>23041.360800000002</v>
      </c>
      <c r="I6">
        <f t="shared" si="0"/>
        <v>22370.251200000002</v>
      </c>
      <c r="J6">
        <f t="shared" si="0"/>
        <v>21718.680799999998</v>
      </c>
      <c r="K6">
        <f t="shared" si="0"/>
        <v>21086.099199999997</v>
      </c>
      <c r="L6">
        <f t="shared" si="0"/>
        <v>20471.955999999998</v>
      </c>
      <c r="M6">
        <f t="shared" si="0"/>
        <v>19875.666399999998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25920.503200000003</v>
      </c>
      <c r="E8">
        <f t="shared" si="1"/>
        <v>25177.910400000001</v>
      </c>
      <c r="F8">
        <f t="shared" si="1"/>
        <v>24444.571199999998</v>
      </c>
      <c r="G8">
        <f t="shared" si="1"/>
        <v>23732.594400000002</v>
      </c>
      <c r="H8">
        <f t="shared" si="1"/>
        <v>23041.360800000002</v>
      </c>
      <c r="I8">
        <f t="shared" si="1"/>
        <v>22370.251200000002</v>
      </c>
      <c r="J8">
        <f t="shared" si="1"/>
        <v>21718.680799999998</v>
      </c>
      <c r="K8">
        <f t="shared" si="1"/>
        <v>21086.099199999997</v>
      </c>
      <c r="L8">
        <f t="shared" si="1"/>
        <v>20471.955999999998</v>
      </c>
      <c r="M8">
        <f t="shared" si="1"/>
        <v>19875.666399999998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workbookViewId="0">
      <selection activeCell="F2" sqref="F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 s="54">
        <f>'Commercial Vehicles'!$B4*'Commercial Vehicles'!F14</f>
        <v>27596.04</v>
      </c>
      <c r="H2" s="54">
        <f>'Commercial Vehicles'!$B4*'Commercial Vehicles'!G14</f>
        <v>26792.280000000002</v>
      </c>
      <c r="I2" s="54">
        <f>'Commercial Vehicles'!$B4*'Commercial Vehicles'!H14</f>
        <v>26011.920000000002</v>
      </c>
      <c r="J2" s="54">
        <f>'Commercial Vehicles'!$B4*'Commercial Vehicles'!I14</f>
        <v>25254.28</v>
      </c>
      <c r="K2" s="54">
        <f>'Commercial Vehicles'!$B4*'Commercial Vehicles'!J14</f>
        <v>24518.719999999998</v>
      </c>
      <c r="L2" s="54">
        <f>'Commercial Vehicles'!$B4*'Commercial Vehicles'!K14</f>
        <v>23804.6</v>
      </c>
      <c r="M2" s="54">
        <f>'Commercial Vehicles'!$B4*'Commercial Vehicles'!L14</f>
        <v>23111.239999999998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30140.120000000003</v>
      </c>
      <c r="E6">
        <f t="shared" si="0"/>
        <v>29276.639999999999</v>
      </c>
      <c r="F6">
        <f t="shared" si="0"/>
        <v>28423.919999999998</v>
      </c>
      <c r="G6">
        <f t="shared" si="0"/>
        <v>27596.04</v>
      </c>
      <c r="H6">
        <f t="shared" si="0"/>
        <v>26792.280000000002</v>
      </c>
      <c r="I6">
        <f t="shared" si="0"/>
        <v>26011.920000000002</v>
      </c>
      <c r="J6">
        <f t="shared" si="0"/>
        <v>25254.28</v>
      </c>
      <c r="K6">
        <f t="shared" si="0"/>
        <v>24518.719999999998</v>
      </c>
      <c r="L6">
        <f t="shared" si="0"/>
        <v>23804.6</v>
      </c>
      <c r="M6">
        <f t="shared" si="0"/>
        <v>23111.239999999998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30140.120000000003</v>
      </c>
      <c r="E8">
        <f t="shared" si="1"/>
        <v>29276.639999999999</v>
      </c>
      <c r="F8">
        <f t="shared" si="1"/>
        <v>28423.919999999998</v>
      </c>
      <c r="G8">
        <f t="shared" si="1"/>
        <v>27596.04</v>
      </c>
      <c r="H8">
        <f t="shared" si="1"/>
        <v>26792.280000000002</v>
      </c>
      <c r="I8">
        <f t="shared" si="1"/>
        <v>26011.920000000002</v>
      </c>
      <c r="J8">
        <f t="shared" si="1"/>
        <v>25254.28</v>
      </c>
      <c r="K8">
        <f t="shared" si="1"/>
        <v>24518.719999999998</v>
      </c>
      <c r="L8">
        <f t="shared" si="1"/>
        <v>23804.6</v>
      </c>
      <c r="M8">
        <f t="shared" si="1"/>
        <v>23111.239999999998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2026-09-01T23:01:19Z</dcterms:modified>
</cp:coreProperties>
</file>
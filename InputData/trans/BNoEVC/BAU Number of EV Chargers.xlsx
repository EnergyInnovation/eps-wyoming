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WY\trans\BNoEVC\"/>
    </mc:Choice>
  </mc:AlternateContent>
  <xr:revisionPtr revIDLastSave="0" documentId="13_ncr:1_{0F8286D0-13BC-4D29-B16D-2CF2923251EC}" xr6:coauthVersionLast="47" xr6:coauthVersionMax="47" xr10:uidLastSave="{00000000-0000-0000-0000-000000000000}"/>
  <bookViews>
    <workbookView xWindow="2730" yWindow="273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B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AF8" i="5" a="1"/>
  <c r="AF8" i="5" s="1"/>
  <c r="AE8" i="5" a="1"/>
  <c r="AE8" i="5" s="1"/>
  <c r="AD8" i="5" a="1"/>
  <c r="AD8" i="5" s="1"/>
  <c r="AC8" i="5" a="1"/>
  <c r="AC8" i="5" s="1"/>
  <c r="AB8" i="5" a="1"/>
  <c r="AB8" i="5" s="1"/>
  <c r="AA8" i="5" a="1"/>
  <c r="AA8" i="5" s="1"/>
  <c r="Z8" i="5" a="1"/>
  <c r="Z8" i="5" s="1"/>
  <c r="Y8" i="5" a="1"/>
  <c r="Y8" i="5" s="1"/>
  <c r="X8" i="5" a="1"/>
  <c r="X8" i="5" s="1"/>
  <c r="W8" i="5" a="1"/>
  <c r="W8" i="5" s="1"/>
  <c r="V8" i="5" a="1"/>
  <c r="V8" i="5" s="1"/>
  <c r="U8" i="5" a="1"/>
  <c r="U8" i="5" s="1"/>
  <c r="T8" i="5" a="1"/>
  <c r="T8" i="5" s="1"/>
  <c r="S8" i="5" a="1"/>
  <c r="S8" i="5" s="1"/>
  <c r="R8" i="5" a="1"/>
  <c r="R8" i="5" s="1"/>
  <c r="Q8" i="5" a="1"/>
  <c r="Q8" i="5" s="1"/>
  <c r="P8" i="5" a="1"/>
  <c r="P8" i="5" s="1"/>
  <c r="O8" i="5" a="1"/>
  <c r="O8" i="5" s="1"/>
  <c r="N8" i="5" a="1"/>
  <c r="N8" i="5" s="1"/>
  <c r="M8" i="5" a="1"/>
  <c r="M8" i="5" s="1"/>
  <c r="L8" i="5" a="1"/>
  <c r="L8" i="5" s="1"/>
  <c r="K8" i="5" a="1"/>
  <c r="K8" i="5" s="1"/>
  <c r="J8" i="5" a="1"/>
  <c r="J8" i="5" s="1"/>
  <c r="I8" i="5" a="1"/>
  <c r="I8" i="5" s="1"/>
  <c r="H8" i="5" a="1"/>
  <c r="H8" i="5" s="1"/>
  <c r="G8" i="5" a="1"/>
  <c r="G8" i="5" s="1"/>
  <c r="F8" i="5" a="1"/>
  <c r="F8" i="5" s="1"/>
  <c r="E8" i="5" a="1"/>
  <c r="E8" i="5" s="1"/>
  <c r="D8" i="5" a="1"/>
  <c r="D8" i="5" s="1"/>
  <c r="K21" i="4"/>
  <c r="M10" i="5" s="1"/>
  <c r="I21" i="4"/>
  <c r="K10" i="5" s="1"/>
  <c r="H21" i="4"/>
  <c r="J10" i="5" s="1"/>
  <c r="C21" i="4"/>
  <c r="E10" i="5" s="1"/>
  <c r="L18" i="4"/>
  <c r="L21" i="4" s="1"/>
  <c r="K18" i="4"/>
  <c r="J18" i="4"/>
  <c r="J21" i="4" s="1"/>
  <c r="L10" i="5" s="1"/>
  <c r="I18" i="4"/>
  <c r="H18" i="4"/>
  <c r="G18" i="4"/>
  <c r="G21" i="4" s="1"/>
  <c r="I10" i="5" s="1"/>
  <c r="F18" i="4"/>
  <c r="F21" i="4" s="1"/>
  <c r="H10" i="5" s="1"/>
  <c r="E18" i="4"/>
  <c r="E21" i="4" s="1"/>
  <c r="G10" i="5" s="1"/>
  <c r="D18" i="4"/>
  <c r="D21" i="4" s="1"/>
  <c r="F10" i="5" s="1"/>
  <c r="C18" i="4"/>
  <c r="B6" i="3"/>
  <c r="B10" i="3" s="1"/>
  <c r="B5" i="3"/>
  <c r="B2" i="1"/>
  <c r="H9" i="5" l="1"/>
  <c r="G9" i="5"/>
  <c r="F9" i="5"/>
  <c r="E9" i="5"/>
  <c r="B8" i="5"/>
  <c r="B11" i="5" s="1"/>
  <c r="C8" i="5"/>
  <c r="C11" i="5" s="1"/>
  <c r="C9" i="7"/>
  <c r="B2" i="8"/>
  <c r="B23" i="4"/>
  <c r="C2" i="8" l="1"/>
  <c r="B2" i="7"/>
  <c r="D11" i="5"/>
  <c r="E11" i="5" l="1"/>
  <c r="C2" i="7"/>
  <c r="C3" i="7" s="1"/>
  <c r="F11" i="5" l="1"/>
  <c r="D2" i="7"/>
  <c r="D3" i="7" s="1"/>
  <c r="D9" i="7" s="1"/>
  <c r="D2" i="8" l="1"/>
  <c r="G11" i="5"/>
  <c r="E2" i="7"/>
  <c r="E3" i="7" s="1"/>
  <c r="E9" i="7" s="1"/>
  <c r="E2" i="8" l="1"/>
  <c r="H11" i="5"/>
  <c r="F2" i="7"/>
  <c r="F3" i="7" s="1"/>
  <c r="F9" i="7" s="1"/>
  <c r="F2" i="8" l="1"/>
  <c r="I11" i="5"/>
  <c r="G2" i="7"/>
  <c r="G3" i="7" s="1"/>
  <c r="G9" i="7" s="1"/>
  <c r="G2" i="8" l="1"/>
  <c r="H2" i="7"/>
  <c r="H3" i="7" s="1"/>
  <c r="H9" i="7" s="1"/>
  <c r="J11" i="5"/>
  <c r="H2" i="8" l="1"/>
  <c r="I2" i="7"/>
  <c r="I3" i="7" s="1"/>
  <c r="I9" i="7" s="1"/>
  <c r="K11" i="5"/>
  <c r="I2" i="8" l="1"/>
  <c r="J2" i="7"/>
  <c r="J3" i="7" s="1"/>
  <c r="J9" i="7" s="1"/>
  <c r="L11" i="5"/>
  <c r="J2" i="8" l="1"/>
  <c r="M11" i="5"/>
  <c r="K2" i="7"/>
  <c r="K3" i="7" s="1"/>
  <c r="K9" i="7" s="1"/>
  <c r="K2" i="8" l="1"/>
  <c r="N11" i="5"/>
  <c r="L2" i="7"/>
  <c r="L3" i="7" s="1"/>
  <c r="L9" i="7" s="1"/>
  <c r="L2" i="8" l="1"/>
  <c r="O11" i="5"/>
  <c r="M2" i="7"/>
  <c r="M3" i="7" s="1"/>
  <c r="M9" i="7" s="1"/>
  <c r="M2" i="8" l="1"/>
  <c r="P11" i="5"/>
  <c r="N2" i="7"/>
  <c r="N3" i="7" s="1"/>
  <c r="N9" i="7" s="1"/>
  <c r="N2" i="8" l="1"/>
  <c r="Q11" i="5"/>
  <c r="O2" i="7"/>
  <c r="O3" i="7" s="1"/>
  <c r="O9" i="7" s="1"/>
  <c r="O2" i="8" l="1"/>
  <c r="P9" i="7"/>
  <c r="P2" i="7"/>
  <c r="P3" i="7" s="1"/>
  <c r="R11" i="5"/>
  <c r="Q2" i="7" l="1"/>
  <c r="Q3" i="7" s="1"/>
  <c r="S11" i="5"/>
  <c r="Q9" i="7"/>
  <c r="P2" i="8"/>
  <c r="R2" i="7" l="1"/>
  <c r="R3" i="7" s="1"/>
  <c r="T11" i="5"/>
  <c r="R9" i="7"/>
  <c r="Q2" i="8"/>
  <c r="R2" i="8" l="1"/>
  <c r="U11" i="5"/>
  <c r="S2" i="7"/>
  <c r="S3" i="7" s="1"/>
  <c r="S9" i="7" s="1"/>
  <c r="S2" i="8" l="1"/>
  <c r="V11" i="5"/>
  <c r="T2" i="7"/>
  <c r="T3" i="7" s="1"/>
  <c r="T9" i="7" s="1"/>
  <c r="T2" i="8" l="1"/>
  <c r="W11" i="5"/>
  <c r="U2" i="7"/>
  <c r="U3" i="7" s="1"/>
  <c r="U9" i="7" s="1"/>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<sst xmlns="http://schemas.openxmlformats.org/spreadsheetml/2006/main" count="212" uniqueCount="159">
  <si>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</si>
  <si>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Wyoming</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</si>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</sst>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WY</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35</v>
      </c>
      <c r="G13" s="51" t="s">
        <v>36</v>
      </c>
    </row>
    <row r="14" spans="1:7">
      <c r="F14" s="51" t="s">
        <v>37</v>
      </c>
      <c r="G14" s="51" t="s">
        <v>38</v>
      </c>
    </row>
    <row r="15" spans="1:7">
      <c r="A15" s="1" t="s">
        <v>39</v>
      </c>
      <c r="F15" s="51" t="s">
        <v>40</v>
      </c>
      <c r="G15" s="51" t="s">
        <v>41</v>
      </c>
    </row>
    <row r="16" spans="1:7">
      <c r="A16" t="s">
        <v>42</v>
      </c>
      <c r="B16">
        <v>0.89805481563188172</v>
      </c>
      <c r="F16" s="51" t="s">
        <v>43</v>
      </c>
      <c r="G16" s="51" t="s">
        <v>44</v>
      </c>
    </row>
    <row r="17" spans="1:7">
      <c r="A17" t="s">
        <v>45</v>
      </c>
      <c r="B17">
        <v>0.84730412960844359</v>
      </c>
      <c r="F17" s="51" t="s">
        <v>46</v>
      </c>
      <c r="G17" s="51" t="s">
        <v>47</v>
      </c>
    </row>
    <row r="18" spans="1:7">
      <c r="A18" t="s">
        <v>48</v>
      </c>
      <c r="B18" s="14">
        <v>0.78500000000000003</v>
      </c>
      <c r="F18" s="51" t="s">
        <v>49</v>
      </c>
      <c r="G18" s="51" t="s">
        <v>50</v>
      </c>
    </row>
    <row r="19" spans="1:7">
      <c r="A19" s="12" t="s">
        <v>51</v>
      </c>
      <c r="B19" s="14"/>
      <c r="F19" s="51" t="s">
        <v>52</v>
      </c>
      <c r="G19" s="51" t="s">
        <v>53</v>
      </c>
    </row>
    <row r="20" spans="1:7">
      <c r="A20" s="15"/>
      <c r="F20" s="51" t="s">
        <v>54</v>
      </c>
      <c r="G20" s="51" t="s">
        <v>55</v>
      </c>
    </row>
    <row r="21" spans="1:7">
      <c r="A21" t="s">
        <v>56</v>
      </c>
      <c r="F21" s="51" t="s">
        <v>57</v>
      </c>
      <c r="G21" s="51" t="s">
        <v>58</v>
      </c>
    </row>
    <row r="22" spans="1:7">
      <c r="A22" t="s">
        <v>59</v>
      </c>
      <c r="F22" s="51" t="s">
        <v>60</v>
      </c>
      <c r="G22" s="51" t="s">
        <v>61</v>
      </c>
    </row>
    <row r="23" spans="1:7">
      <c r="A23" t="s">
        <v>62</v>
      </c>
      <c r="F23" s="51" t="s">
        <v>63</v>
      </c>
      <c r="G23" s="51" t="s">
        <v>64</v>
      </c>
    </row>
    <row r="24" spans="1:7">
      <c r="F24" s="51" t="s">
        <v>65</v>
      </c>
      <c r="G24" s="51" t="s">
        <v>66</v>
      </c>
    </row>
    <row r="25" spans="1:7">
      <c r="F25" s="51" t="s">
        <v>67</v>
      </c>
      <c r="G25" s="51" t="s">
        <v>68</v>
      </c>
    </row>
    <row r="26" spans="1:7">
      <c r="F26" s="51" t="s">
        <v>69</v>
      </c>
      <c r="G26" s="51" t="s">
        <v>70</v>
      </c>
    </row>
    <row r="27" spans="1:7">
      <c r="F27" s="51" t="s">
        <v>71</v>
      </c>
      <c r="G27" s="51" t="s">
        <v>72</v>
      </c>
    </row>
    <row r="28" spans="1:7">
      <c r="F28" s="51" t="s">
        <v>73</v>
      </c>
      <c r="G28" s="51" t="s">
        <v>74</v>
      </c>
    </row>
    <row r="29" spans="1:7">
      <c r="F29" s="51" t="s">
        <v>75</v>
      </c>
      <c r="G29" s="51" t="s">
        <v>76</v>
      </c>
    </row>
    <row r="30" spans="1:7">
      <c r="F30" s="51" t="s">
        <v>77</v>
      </c>
      <c r="G30" s="51" t="s">
        <v>78</v>
      </c>
    </row>
    <row r="31" spans="1:7">
      <c r="F31" s="51" t="s">
        <v>79</v>
      </c>
      <c r="G31" s="51" t="s">
        <v>80</v>
      </c>
    </row>
    <row r="32" spans="1:7">
      <c r="F32" s="51" t="s">
        <v>81</v>
      </c>
      <c r="G32" s="51" t="s">
        <v>82</v>
      </c>
    </row>
    <row r="33" spans="6:7">
      <c r="F33" s="51" t="s">
        <v>83</v>
      </c>
      <c r="G33" s="51" t="s">
        <v>84</v>
      </c>
    </row>
    <row r="34" spans="6:7">
      <c r="F34" s="51" t="s">
        <v>85</v>
      </c>
      <c r="G34" s="51" t="s">
        <v>86</v>
      </c>
    </row>
    <row r="35" spans="6:7">
      <c r="F35" s="51" t="s">
        <v>87</v>
      </c>
      <c r="G35" s="51" t="s">
        <v>88</v>
      </c>
    </row>
    <row r="36" spans="6:7">
      <c r="F36" s="51" t="s">
        <v>89</v>
      </c>
      <c r="G36" s="51" t="s">
        <v>90</v>
      </c>
    </row>
    <row r="37" spans="6:7">
      <c r="F37" s="51" t="s">
        <v>91</v>
      </c>
      <c r="G37" s="51" t="s">
        <v>92</v>
      </c>
    </row>
    <row r="38" spans="6:7">
      <c r="F38" s="51" t="s">
        <v>93</v>
      </c>
      <c r="G38" s="51" t="s">
        <v>94</v>
      </c>
    </row>
    <row r="39" spans="6:7">
      <c r="F39" s="51" t="s">
        <v>95</v>
      </c>
      <c r="G39" s="51" t="s">
        <v>96</v>
      </c>
    </row>
    <row r="40" spans="6:7">
      <c r="F40" s="51" t="s">
        <v>97</v>
      </c>
      <c r="G40" s="51" t="s">
        <v>98</v>
      </c>
    </row>
    <row r="41" spans="6:7">
      <c r="F41" s="51" t="s">
        <v>99</v>
      </c>
      <c r="G41" s="51" t="s">
        <v>100</v>
      </c>
    </row>
    <row r="42" spans="6:7">
      <c r="F42" s="51" t="s">
        <v>101</v>
      </c>
      <c r="G42" s="51" t="s">
        <v>102</v>
      </c>
    </row>
    <row r="43" spans="6:7">
      <c r="F43" s="51" t="s">
        <v>103</v>
      </c>
      <c r="G43" s="51" t="s">
        <v>104</v>
      </c>
    </row>
    <row r="44" spans="6:7">
      <c r="F44" s="51" t="s">
        <v>105</v>
      </c>
      <c r="G44" s="51" t="s">
        <v>106</v>
      </c>
    </row>
    <row r="45" spans="6:7">
      <c r="F45" s="51" t="s">
        <v>107</v>
      </c>
      <c r="G45" s="51" t="s">
        <v>108</v>
      </c>
    </row>
    <row r="46" spans="6:7">
      <c r="F46" s="51" t="s">
        <v>109</v>
      </c>
      <c r="G46" s="51" t="s">
        <v>110</v>
      </c>
    </row>
    <row r="47" spans="6:7">
      <c r="F47" s="51" t="s">
        <v>111</v>
      </c>
      <c r="G47" s="51" t="s">
        <v>112</v>
      </c>
    </row>
    <row r="48" spans="6:7">
      <c r="F48" s="51" t="s">
        <v>113</v>
      </c>
      <c r="G48" s="51" t="s">
        <v>114</v>
      </c>
    </row>
    <row r="49" spans="6:7">
      <c r="F49" s="51" t="s">
        <v>115</v>
      </c>
      <c r="G49" s="51" t="s">
        <v>116</v>
      </c>
    </row>
    <row r="50" spans="6:7">
      <c r="F50" s="51" t="s">
        <v>1</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3" width="12.5703125" style="10" customWidth="1"/>
    <col min="14"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3" width="8.85546875" style="21" customWidth="1"/>
    <col min="4"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35</v>
      </c>
      <c r="B31" s="44">
        <v>1328</v>
      </c>
      <c r="C31" s="49">
        <v>3315</v>
      </c>
    </row>
    <row r="32" spans="1:4" ht="13.5" customHeight="1" thickBot="1">
      <c r="A32" s="31"/>
      <c r="B32" s="35">
        <v>50</v>
      </c>
      <c r="C32" s="21">
        <v>2593</v>
      </c>
      <c r="D32" s="21">
        <v>672</v>
      </c>
    </row>
    <row r="33" spans="1:4">
      <c r="A33" s="26" t="s">
        <v>37</v>
      </c>
      <c r="B33" s="32">
        <v>400</v>
      </c>
      <c r="C33" s="49">
        <v>1088</v>
      </c>
    </row>
    <row r="34" spans="1:4" ht="13.5" customHeight="1" thickBot="1">
      <c r="A34" s="27"/>
      <c r="B34" s="33">
        <v>8</v>
      </c>
      <c r="C34" s="21">
        <v>743</v>
      </c>
      <c r="D34" s="21">
        <v>337</v>
      </c>
    </row>
    <row r="35" spans="1:4">
      <c r="A35" s="30" t="s">
        <v>40</v>
      </c>
      <c r="B35" s="34">
        <v>305</v>
      </c>
      <c r="C35" s="49">
        <v>659</v>
      </c>
    </row>
    <row r="36" spans="1:4" ht="13.5" customHeight="1" thickBot="1">
      <c r="A36" s="31"/>
      <c r="B36" s="35">
        <v>4</v>
      </c>
      <c r="C36" s="21">
        <v>420</v>
      </c>
      <c r="D36" s="21">
        <v>235</v>
      </c>
    </row>
    <row r="37" spans="1:4">
      <c r="A37" s="26" t="s">
        <v>43</v>
      </c>
      <c r="B37" s="32">
        <v>491</v>
      </c>
      <c r="C37" s="49">
        <v>1047</v>
      </c>
    </row>
    <row r="38" spans="1:4" ht="13.5" customHeight="1" thickBot="1">
      <c r="A38" s="27"/>
      <c r="B38" s="33">
        <v>14</v>
      </c>
      <c r="C38" s="21">
        <v>878</v>
      </c>
      <c r="D38" s="21">
        <v>155</v>
      </c>
    </row>
    <row r="39" spans="1:4">
      <c r="A39" s="30" t="s">
        <v>46</v>
      </c>
      <c r="B39" s="34">
        <v>252</v>
      </c>
      <c r="C39" s="49">
        <v>616</v>
      </c>
    </row>
    <row r="40" spans="1:4" ht="13.5" customHeight="1" thickBot="1">
      <c r="A40" s="31"/>
      <c r="B40" s="35">
        <v>24</v>
      </c>
      <c r="C40" s="21">
        <v>481</v>
      </c>
      <c r="D40" s="21">
        <v>111</v>
      </c>
    </row>
    <row r="41" spans="1:4">
      <c r="A41" s="26" t="s">
        <v>49</v>
      </c>
      <c r="B41" s="32">
        <v>193</v>
      </c>
      <c r="C41" s="49">
        <v>475</v>
      </c>
    </row>
    <row r="42" spans="1:4" ht="13.5" customHeight="1" thickBot="1">
      <c r="A42" s="27"/>
      <c r="B42" s="33">
        <v>21</v>
      </c>
      <c r="C42" s="21">
        <v>328</v>
      </c>
      <c r="D42" s="21">
        <v>126</v>
      </c>
    </row>
    <row r="43" spans="1:4">
      <c r="A43" s="30" t="s">
        <v>52</v>
      </c>
      <c r="B43" s="34">
        <v>408</v>
      </c>
      <c r="C43" s="49">
        <v>865</v>
      </c>
    </row>
    <row r="44" spans="1:4" ht="13.5" customHeight="1" thickBot="1">
      <c r="A44" s="31"/>
      <c r="B44" s="35">
        <v>25</v>
      </c>
      <c r="C44" s="21">
        <v>663</v>
      </c>
      <c r="D44" s="21">
        <v>177</v>
      </c>
    </row>
    <row r="45" spans="1:4">
      <c r="A45" s="26" t="s">
        <v>54</v>
      </c>
      <c r="B45" s="43">
        <v>1373</v>
      </c>
      <c r="C45" s="49">
        <v>3929</v>
      </c>
    </row>
    <row r="46" spans="1:4" ht="13.5" customHeight="1" thickBot="1">
      <c r="A46" s="27"/>
      <c r="B46" s="33">
        <v>45</v>
      </c>
      <c r="C46" s="21">
        <v>3203</v>
      </c>
      <c r="D46" s="21">
        <v>681</v>
      </c>
    </row>
    <row r="47" spans="1:4">
      <c r="A47" s="30" t="s">
        <v>57</v>
      </c>
      <c r="B47" s="44">
        <v>2416</v>
      </c>
      <c r="C47" s="49">
        <v>5765</v>
      </c>
    </row>
    <row r="48" spans="1:4" ht="13.5" customHeight="1" thickBot="1">
      <c r="A48" s="31"/>
      <c r="B48" s="35">
        <v>64</v>
      </c>
      <c r="C48" s="21">
        <v>5125</v>
      </c>
      <c r="D48" s="21">
        <v>576</v>
      </c>
    </row>
    <row r="49" spans="1:4">
      <c r="A49" s="26" t="s">
        <v>60</v>
      </c>
      <c r="B49" s="43">
        <v>1147</v>
      </c>
      <c r="C49" s="49">
        <v>2697</v>
      </c>
    </row>
    <row r="50" spans="1:4" ht="13.5" customHeight="1" thickBot="1">
      <c r="A50" s="27"/>
      <c r="B50" s="33">
        <v>14</v>
      </c>
      <c r="C50" s="21">
        <v>2145</v>
      </c>
      <c r="D50" s="21">
        <v>528</v>
      </c>
    </row>
    <row r="51" spans="1:4">
      <c r="A51" s="30" t="s">
        <v>63</v>
      </c>
      <c r="B51" s="34">
        <v>594</v>
      </c>
      <c r="C51" s="49">
        <v>1517</v>
      </c>
    </row>
    <row r="52" spans="1:4" ht="13.5" customHeight="1" thickBot="1">
      <c r="A52" s="31"/>
      <c r="B52" s="35">
        <v>75</v>
      </c>
      <c r="C52" s="21">
        <v>1177</v>
      </c>
      <c r="D52" s="21">
        <v>265</v>
      </c>
    </row>
    <row r="53" spans="1:4">
      <c r="A53" s="26" t="s">
        <v>65</v>
      </c>
      <c r="B53" s="32">
        <v>115</v>
      </c>
      <c r="C53" s="49">
        <v>441</v>
      </c>
    </row>
    <row r="54" spans="1:4" ht="13.5" customHeight="1" thickBot="1">
      <c r="A54" s="27"/>
      <c r="B54" s="33">
        <v>139</v>
      </c>
      <c r="C54" s="21">
        <v>221</v>
      </c>
      <c r="D54" s="21">
        <v>81</v>
      </c>
    </row>
    <row r="55" spans="1:4">
      <c r="A55" s="30" t="s">
        <v>67</v>
      </c>
      <c r="B55" s="44">
        <v>1031</v>
      </c>
      <c r="C55" s="49">
        <v>2212</v>
      </c>
    </row>
    <row r="56" spans="1:4" ht="13.5" customHeight="1" thickBot="1">
      <c r="A56" s="31"/>
      <c r="B56" s="35">
        <v>14</v>
      </c>
      <c r="C56" s="21">
        <v>1908</v>
      </c>
      <c r="D56" s="21">
        <v>290</v>
      </c>
    </row>
    <row r="57" spans="1:4">
      <c r="A57" s="26" t="s">
        <v>69</v>
      </c>
      <c r="B57" s="32">
        <v>98</v>
      </c>
      <c r="C57" s="49">
        <v>252</v>
      </c>
    </row>
    <row r="58" spans="1:4" ht="13.5" customHeight="1" thickBot="1">
      <c r="A58" s="27"/>
      <c r="B58" s="33">
        <v>3</v>
      </c>
      <c r="C58" s="21">
        <v>141</v>
      </c>
      <c r="D58" s="21">
        <v>108</v>
      </c>
    </row>
    <row r="59" spans="1:4">
      <c r="A59" s="30" t="s">
        <v>71</v>
      </c>
      <c r="B59" s="34">
        <v>214</v>
      </c>
      <c r="C59" s="49">
        <v>446</v>
      </c>
    </row>
    <row r="60" spans="1:4" ht="13.5" customHeight="1" thickBot="1">
      <c r="A60" s="31"/>
      <c r="B60" s="35">
        <v>0</v>
      </c>
      <c r="C60" s="21">
        <v>340</v>
      </c>
      <c r="D60" s="21">
        <v>106</v>
      </c>
    </row>
    <row r="61" spans="1:4">
      <c r="A61" s="26" t="s">
        <v>73</v>
      </c>
      <c r="B61" s="32">
        <v>478</v>
      </c>
      <c r="C61" s="49">
        <v>1663</v>
      </c>
    </row>
    <row r="62" spans="1:4" ht="13.5" customHeight="1" thickBot="1">
      <c r="A62" s="27"/>
      <c r="B62" s="33">
        <v>15</v>
      </c>
      <c r="C62" s="21">
        <v>1222</v>
      </c>
      <c r="D62" s="21">
        <v>426</v>
      </c>
    </row>
    <row r="63" spans="1:4">
      <c r="A63" s="30" t="s">
        <v>75</v>
      </c>
      <c r="B63" s="34">
        <v>202</v>
      </c>
      <c r="C63" s="49">
        <v>468</v>
      </c>
    </row>
    <row r="64" spans="1:4" ht="13.5" customHeight="1" thickBot="1">
      <c r="A64" s="31"/>
      <c r="B64" s="35">
        <v>6</v>
      </c>
      <c r="C64" s="21">
        <v>324</v>
      </c>
      <c r="D64" s="21">
        <v>138</v>
      </c>
    </row>
    <row r="65" spans="1:4">
      <c r="A65" s="26" t="s">
        <v>77</v>
      </c>
      <c r="B65" s="32">
        <v>939</v>
      </c>
      <c r="C65" s="49">
        <v>2694</v>
      </c>
    </row>
    <row r="66" spans="1:4" ht="13.5" customHeight="1" thickBot="1">
      <c r="A66" s="27"/>
      <c r="B66" s="33">
        <v>16</v>
      </c>
      <c r="C66" s="21">
        <v>1967</v>
      </c>
      <c r="D66" s="21">
        <v>711</v>
      </c>
    </row>
    <row r="67" spans="1:4">
      <c r="A67" s="30" t="s">
        <v>79</v>
      </c>
      <c r="B67" s="34">
        <v>201</v>
      </c>
      <c r="C67" s="49">
        <v>508</v>
      </c>
    </row>
    <row r="68" spans="1:4" ht="13.5" customHeight="1" thickBot="1">
      <c r="A68" s="31"/>
      <c r="B68" s="35">
        <v>10</v>
      </c>
      <c r="C68" s="21">
        <v>339</v>
      </c>
      <c r="D68" s="21">
        <v>159</v>
      </c>
    </row>
    <row r="69" spans="1:4">
      <c r="A69" s="26" t="s">
        <v>81</v>
      </c>
      <c r="B69" s="43">
        <v>3327</v>
      </c>
      <c r="C69" s="49">
        <v>9539</v>
      </c>
    </row>
    <row r="70" spans="1:4" ht="13.5" customHeight="1" thickBot="1">
      <c r="A70" s="27"/>
      <c r="B70" s="33">
        <v>41</v>
      </c>
      <c r="C70" s="21">
        <v>8342</v>
      </c>
      <c r="D70" s="22">
        <v>1156</v>
      </c>
    </row>
    <row r="71" spans="1:4">
      <c r="A71" s="30" t="s">
        <v>83</v>
      </c>
      <c r="B71" s="44">
        <v>1154</v>
      </c>
      <c r="C71" s="49">
        <v>3031</v>
      </c>
    </row>
    <row r="72" spans="1:4" ht="13.5" customHeight="1" thickBot="1">
      <c r="A72" s="31"/>
      <c r="B72" s="35">
        <v>37</v>
      </c>
      <c r="C72" s="21">
        <v>2300</v>
      </c>
      <c r="D72" s="21">
        <v>694</v>
      </c>
    </row>
    <row r="73" spans="1:4">
      <c r="A73" s="26" t="s">
        <v>85</v>
      </c>
      <c r="B73" s="32">
        <v>80</v>
      </c>
      <c r="C73" s="49">
        <v>172</v>
      </c>
    </row>
    <row r="74" spans="1:4" ht="13.5" customHeight="1" thickBot="1">
      <c r="A74" s="27"/>
      <c r="B74" s="33">
        <v>0</v>
      </c>
      <c r="C74" s="21">
        <v>111</v>
      </c>
      <c r="D74" s="21">
        <v>61</v>
      </c>
    </row>
    <row r="75" spans="1:4">
      <c r="A75" s="30" t="s">
        <v>87</v>
      </c>
      <c r="B75" s="44">
        <v>1242</v>
      </c>
      <c r="C75" s="49">
        <v>2801</v>
      </c>
    </row>
    <row r="76" spans="1:4" ht="13.5" customHeight="1" thickBot="1">
      <c r="A76" s="31"/>
      <c r="B76" s="35">
        <v>40</v>
      </c>
      <c r="C76" s="21">
        <v>2325</v>
      </c>
      <c r="D76" s="21">
        <v>436</v>
      </c>
    </row>
    <row r="77" spans="1:4">
      <c r="A77" s="26" t="s">
        <v>89</v>
      </c>
      <c r="B77" s="32">
        <v>341</v>
      </c>
      <c r="C77" s="49">
        <v>1093</v>
      </c>
    </row>
    <row r="78" spans="1:4" ht="13.5" customHeight="1" thickBot="1">
      <c r="A78" s="27"/>
      <c r="B78" s="33">
        <v>8</v>
      </c>
      <c r="C78" s="21">
        <v>455</v>
      </c>
      <c r="D78" s="21">
        <v>630</v>
      </c>
    </row>
    <row r="79" spans="1:4">
      <c r="A79" s="30" t="s">
        <v>91</v>
      </c>
      <c r="B79" s="44">
        <v>1007</v>
      </c>
      <c r="C79" s="49">
        <v>2472</v>
      </c>
    </row>
    <row r="80" spans="1:4" ht="13.5" customHeight="1" thickBot="1">
      <c r="A80" s="31"/>
      <c r="B80" s="35">
        <v>75</v>
      </c>
      <c r="C80" s="21">
        <v>1917</v>
      </c>
      <c r="D80" s="21">
        <v>480</v>
      </c>
    </row>
    <row r="81" spans="1:4">
      <c r="A81" s="26" t="s">
        <v>93</v>
      </c>
      <c r="B81" s="43">
        <v>1330</v>
      </c>
      <c r="C81" s="49">
        <v>3247</v>
      </c>
    </row>
    <row r="82" spans="1:4" ht="13.5" customHeight="1" thickBot="1">
      <c r="A82" s="27"/>
      <c r="B82" s="33">
        <v>51</v>
      </c>
      <c r="C82" s="21">
        <v>2508</v>
      </c>
      <c r="D82" s="21">
        <v>688</v>
      </c>
    </row>
    <row r="83" spans="1:4">
      <c r="A83" s="30" t="s">
        <v>95</v>
      </c>
      <c r="B83" s="34">
        <v>296</v>
      </c>
      <c r="C83" s="49">
        <v>772</v>
      </c>
    </row>
    <row r="84" spans="1:4" ht="13.5" customHeight="1" thickBot="1">
      <c r="A84" s="31"/>
      <c r="B84" s="35">
        <v>82</v>
      </c>
      <c r="C84" s="21">
        <v>623</v>
      </c>
      <c r="D84" s="21">
        <v>67</v>
      </c>
    </row>
    <row r="85" spans="1:4">
      <c r="A85" s="26" t="s">
        <v>97</v>
      </c>
      <c r="B85" s="32">
        <v>417</v>
      </c>
      <c r="C85" s="49">
        <v>987</v>
      </c>
    </row>
    <row r="86" spans="1:4" ht="13.5" customHeight="1" thickBot="1">
      <c r="A86" s="27"/>
      <c r="B86" s="33">
        <v>18</v>
      </c>
      <c r="C86" s="21">
        <v>708</v>
      </c>
      <c r="D86" s="21">
        <v>261</v>
      </c>
    </row>
    <row r="87" spans="1:4">
      <c r="A87" s="30" t="s">
        <v>99</v>
      </c>
      <c r="B87" s="34">
        <v>69</v>
      </c>
      <c r="C87" s="49">
        <v>176</v>
      </c>
    </row>
    <row r="88" spans="1:4" ht="13.5" customHeight="1" thickBot="1">
      <c r="A88" s="31"/>
      <c r="B88" s="35">
        <v>2</v>
      </c>
      <c r="C88" s="21">
        <v>96</v>
      </c>
      <c r="D88" s="21">
        <v>78</v>
      </c>
    </row>
    <row r="89" spans="1:4">
      <c r="A89" s="26" t="s">
        <v>101</v>
      </c>
      <c r="B89" s="32">
        <v>686</v>
      </c>
      <c r="C89" s="49">
        <v>1674</v>
      </c>
    </row>
    <row r="90" spans="1:4" ht="13.5" customHeight="1" thickBot="1">
      <c r="A90" s="27"/>
      <c r="B90" s="33">
        <v>33</v>
      </c>
      <c r="C90" s="21">
        <v>1377</v>
      </c>
      <c r="D90" s="21">
        <v>264</v>
      </c>
    </row>
    <row r="91" spans="1:4">
      <c r="A91" s="30" t="s">
        <v>103</v>
      </c>
      <c r="B91" s="44">
        <v>2472</v>
      </c>
      <c r="C91" s="49">
        <v>6313</v>
      </c>
    </row>
    <row r="92" spans="1:4" ht="13.5" customHeight="1" thickBot="1">
      <c r="A92" s="31"/>
      <c r="B92" s="35">
        <v>96</v>
      </c>
      <c r="C92" s="21">
        <v>4831</v>
      </c>
      <c r="D92" s="22">
        <v>1386</v>
      </c>
    </row>
    <row r="93" spans="1:4">
      <c r="A93" s="26" t="s">
        <v>105</v>
      </c>
      <c r="B93" s="32">
        <v>782</v>
      </c>
      <c r="C93" s="49">
        <v>1857</v>
      </c>
    </row>
    <row r="94" spans="1:4" ht="13.5" customHeight="1" thickBot="1">
      <c r="A94" s="27"/>
      <c r="B94" s="33">
        <v>17</v>
      </c>
      <c r="C94" s="21">
        <v>1584</v>
      </c>
      <c r="D94" s="21">
        <v>256</v>
      </c>
    </row>
    <row r="95" spans="1:4">
      <c r="A95" s="30" t="s">
        <v>107</v>
      </c>
      <c r="B95" s="34">
        <v>349</v>
      </c>
      <c r="C95" s="49">
        <v>896</v>
      </c>
    </row>
    <row r="96" spans="1:4" ht="13.5" customHeight="1" thickBot="1">
      <c r="A96" s="31"/>
      <c r="B96" s="35">
        <v>35</v>
      </c>
      <c r="C96" s="21">
        <v>758</v>
      </c>
      <c r="D96" s="21">
        <v>103</v>
      </c>
    </row>
    <row r="97" spans="1:4">
      <c r="A97" s="26" t="s">
        <v>109</v>
      </c>
      <c r="B97" s="43">
        <v>1227</v>
      </c>
      <c r="C97" s="49">
        <v>3651</v>
      </c>
    </row>
    <row r="98" spans="1:4" ht="13.5" customHeight="1" thickBot="1">
      <c r="A98" s="27"/>
      <c r="B98" s="33">
        <v>237</v>
      </c>
      <c r="C98" s="21">
        <v>2528</v>
      </c>
      <c r="D98" s="21">
        <v>886</v>
      </c>
    </row>
    <row r="99" spans="1:4">
      <c r="A99" s="30" t="s">
        <v>111</v>
      </c>
      <c r="B99" s="44">
        <v>1777</v>
      </c>
      <c r="C99" s="49">
        <v>4520</v>
      </c>
    </row>
    <row r="100" spans="1:4" ht="13.5" customHeight="1" thickBot="1">
      <c r="A100" s="31"/>
      <c r="B100" s="35">
        <v>209</v>
      </c>
      <c r="C100" s="21">
        <v>3500</v>
      </c>
      <c r="D100" s="21">
        <v>811</v>
      </c>
    </row>
    <row r="101" spans="1:4">
      <c r="A101" s="26" t="s">
        <v>113</v>
      </c>
      <c r="B101" s="32">
        <v>138</v>
      </c>
      <c r="C101" s="49">
        <v>386</v>
      </c>
    </row>
    <row r="102" spans="1:4" ht="13.5" customHeight="1" thickBot="1">
      <c r="A102" s="27"/>
      <c r="B102" s="33">
        <v>19</v>
      </c>
      <c r="C102" s="21">
        <v>260</v>
      </c>
      <c r="D102" s="21">
        <v>107</v>
      </c>
    </row>
    <row r="103" spans="1:4">
      <c r="A103" s="30" t="s">
        <v>115</v>
      </c>
      <c r="B103" s="34">
        <v>464</v>
      </c>
      <c r="C103" s="49">
        <v>1084</v>
      </c>
    </row>
    <row r="104" spans="1:4" ht="13.5" customHeight="1" thickBot="1">
      <c r="A104" s="31"/>
      <c r="B104" s="35">
        <v>6</v>
      </c>
      <c r="C104" s="21">
        <v>816</v>
      </c>
      <c r="D104" s="21">
        <v>262</v>
      </c>
    </row>
    <row r="105" spans="1:4">
      <c r="A105" s="30" t="s">
        <v>1</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Wyoming</v>
      </c>
      <c r="B6">
        <f>SUMIFS('2022'!C:C,'2022'!A:A,'BNoEVC-calcs'!A6)</f>
        <v>213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213</v>
      </c>
      <c r="C9">
        <f>B9</f>
        <v>213</v>
      </c>
      <c r="D9">
        <f t="shared" ref="D9:AE9" si="1">C9*D3</f>
        <v>388.86550695306153</v>
      </c>
      <c r="E9">
        <f t="shared" si="1"/>
        <v>563.50742747401864</v>
      </c>
      <c r="F9">
        <f t="shared" si="1"/>
        <v>740.2294449295531</v>
      </c>
      <c r="G9">
        <f t="shared" si="1"/>
        <v>919.27627660610881</v>
      </c>
      <c r="H9">
        <f t="shared" si="1"/>
        <v>1000.3792012310573</v>
      </c>
      <c r="I9">
        <f t="shared" si="1"/>
        <v>1084.2963746498456</v>
      </c>
      <c r="J9">
        <f t="shared" si="1"/>
        <v>1171.1501555057071</v>
      </c>
      <c r="K9">
        <f t="shared" si="1"/>
        <v>1261.1852610850167</v>
      </c>
      <c r="L9">
        <f t="shared" si="1"/>
        <v>1354.5240500310081</v>
      </c>
      <c r="M9">
        <f t="shared" si="1"/>
        <v>1413.1129843052377</v>
      </c>
      <c r="N9">
        <f t="shared" si="1"/>
        <v>1471.7019185794904</v>
      </c>
      <c r="O9">
        <f t="shared" si="1"/>
        <v>1530.29085285372</v>
      </c>
      <c r="P9">
        <f t="shared" si="1"/>
        <v>1588.8797871279494</v>
      </c>
      <c r="Q9">
        <f t="shared" si="1"/>
        <v>1647.4687214022019</v>
      </c>
      <c r="R9">
        <f t="shared" si="1"/>
        <v>1706.0576556764315</v>
      </c>
      <c r="S9">
        <f t="shared" si="1"/>
        <v>1764.6465899506611</v>
      </c>
      <c r="T9">
        <f t="shared" si="1"/>
        <v>1823.2355242248907</v>
      </c>
      <c r="U9">
        <f t="shared" si="1"/>
        <v>1881.8244584991432</v>
      </c>
      <c r="V9">
        <f t="shared" si="1"/>
        <v>1940.4133927733728</v>
      </c>
      <c r="W9">
        <f t="shared" si="1"/>
        <v>1999.0023270476022</v>
      </c>
      <c r="X9">
        <f t="shared" si="1"/>
        <v>2057.5912613218547</v>
      </c>
      <c r="Y9">
        <f t="shared" si="1"/>
        <v>2116.1801955960846</v>
      </c>
      <c r="Z9">
        <f t="shared" si="1"/>
        <v>2174.7691298703144</v>
      </c>
      <c r="AA9">
        <f t="shared" si="1"/>
        <v>2233.3580641445442</v>
      </c>
      <c r="AB9">
        <f t="shared" si="1"/>
        <v>2291.9469984187967</v>
      </c>
      <c r="AC9">
        <f t="shared" si="1"/>
        <v>2350.5359326930261</v>
      </c>
      <c r="AD9">
        <f t="shared" si="1"/>
        <v>2409.1248669672555</v>
      </c>
      <c r="AE9">
        <f t="shared" si="1"/>
        <v>2467.713801241508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213</v>
      </c>
      <c r="C2" s="54">
        <f>'BNoEVC-calcs'!C9</f>
        <v>213</v>
      </c>
      <c r="D2" s="54">
        <f>'BNoEVC-calcs'!D9</f>
        <v>388.86550695306153</v>
      </c>
      <c r="E2" s="54">
        <f>'BNoEVC-calcs'!E9</f>
        <v>563.50742747401864</v>
      </c>
      <c r="F2" s="54">
        <f>'BNoEVC-calcs'!F9</f>
        <v>740.2294449295531</v>
      </c>
      <c r="G2" s="54">
        <f>'BNoEVC-calcs'!G9</f>
        <v>919.27627660610881</v>
      </c>
      <c r="H2" s="54">
        <f>'BNoEVC-calcs'!H9</f>
        <v>1000.3792012310573</v>
      </c>
      <c r="I2" s="54">
        <f>'BNoEVC-calcs'!I9</f>
        <v>1084.2963746498456</v>
      </c>
      <c r="J2" s="54">
        <f>'BNoEVC-calcs'!J9</f>
        <v>1171.1501555057071</v>
      </c>
      <c r="K2" s="54">
        <f>'BNoEVC-calcs'!K9</f>
        <v>1261.1852610850167</v>
      </c>
      <c r="L2" s="54">
        <f>'BNoEVC-calcs'!L9</f>
        <v>1354.5240500310081</v>
      </c>
      <c r="M2" s="54">
        <f>'BNoEVC-calcs'!M9</f>
        <v>1413.1129843052377</v>
      </c>
      <c r="N2" s="54">
        <f>'BNoEVC-calcs'!N9</f>
        <v>1471.7019185794904</v>
      </c>
      <c r="O2" s="54">
        <f>'BNoEVC-calcs'!O9</f>
        <v>1530.29085285372</v>
      </c>
      <c r="P2" s="54">
        <f>'BNoEVC-calcs'!P9</f>
        <v>1588.8797871279494</v>
      </c>
      <c r="Q2" s="54">
        <f>'BNoEVC-calcs'!Q9</f>
        <v>1647.4687214022019</v>
      </c>
      <c r="R2" s="54">
        <f>'BNoEVC-calcs'!R9</f>
        <v>1706.0576556764315</v>
      </c>
      <c r="S2" s="54">
        <f>'BNoEVC-calcs'!S9</f>
        <v>1764.6465899506611</v>
      </c>
      <c r="T2" s="54">
        <f>'BNoEVC-calcs'!T9</f>
        <v>1823.2355242248907</v>
      </c>
      <c r="U2" s="54">
        <f>'BNoEVC-calcs'!U9</f>
        <v>1881.8244584991432</v>
      </c>
      <c r="V2" s="54">
        <f>'BNoEVC-calcs'!V9</f>
        <v>1940.4133927733728</v>
      </c>
      <c r="W2" s="54">
        <f>'BNoEVC-calcs'!W9</f>
        <v>1999.0023270476022</v>
      </c>
      <c r="X2" s="54">
        <f>'BNoEVC-calcs'!X9</f>
        <v>2057.5912613218547</v>
      </c>
      <c r="Y2" s="54">
        <f>'BNoEVC-calcs'!Y9</f>
        <v>2116.1801955960846</v>
      </c>
      <c r="Z2" s="54">
        <f>'BNoEVC-calcs'!Z9</f>
        <v>2174.7691298703144</v>
      </c>
      <c r="AA2" s="54">
        <f>'BNoEVC-calcs'!AA9</f>
        <v>2233.3580641445442</v>
      </c>
      <c r="AB2" s="54">
        <f>'BNoEVC-calcs'!AB9</f>
        <v>2291.9469984187967</v>
      </c>
      <c r="AC2" s="54">
        <f>'BNoEVC-calcs'!AC9</f>
        <v>2350.5359326930261</v>
      </c>
      <c r="AD2" s="54">
        <f>'BNoEVC-calcs'!AD9</f>
        <v>2409.1248669672555</v>
      </c>
      <c r="AE2" s="54">
        <f>'BNoEVC-calcs'!AE9</f>
        <v>2467.713801241508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2023-09-26T22:29:41Z</dcterms:modified>
</cp:coreProperties>
</file>